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345" windowHeight="11925" activeTab="3"/>
  </bookViews>
  <sheets>
    <sheet name="Air" sheetId="2" r:id="rId1"/>
    <sheet name="AFR" sheetId="6" r:id="rId2"/>
    <sheet name="Fuel" sheetId="7" r:id="rId3"/>
    <sheet name="Math" sheetId="5" r:id="rId4"/>
    <sheet name="Tool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<sst xmlns="http://schemas.openxmlformats.org/spreadsheetml/2006/main" count="357" uniqueCount="313">
  <si>
    <t>Loop</t>
  </si>
  <si>
    <t>Equations</t>
  </si>
  <si>
    <t>half turn</t>
  </si>
  <si>
    <t>AirPerCylx = (1/(273+ChrgAirTmpCyl1)) * MAPExpected * VECylx * (C_CylinderDisplacement / 1000) * (28.97/8.314 ) / 100</t>
  </si>
  <si>
    <t>ChrgAirTmpCyl1</t>
  </si>
  <si>
    <t>°C</t>
  </si>
  <si>
    <t>Intake charge temperature</t>
  </si>
  <si>
    <t>MAPExpected</t>
  </si>
  <si>
    <t>kPa</t>
  </si>
  <si>
    <t>Characteristic intake pressure</t>
  </si>
  <si>
    <t>VECyl1</t>
  </si>
  <si>
    <t>Intake charge efficiency corresponding to the characteristic intake pressure</t>
  </si>
  <si>
    <t>C_CylinderDisplacement</t>
  </si>
  <si>
    <t>ml</t>
  </si>
  <si>
    <t>Single-cylinder displacement</t>
  </si>
  <si>
    <t>AirFlowCyl1 = AirPerCyl1 / (RefPeriod / 1000)</t>
  </si>
  <si>
    <t>AirFlowCyl1</t>
  </si>
  <si>
    <t>g/s</t>
  </si>
  <si>
    <t>Airflow rate</t>
  </si>
  <si>
    <t>RefPeriod</t>
  </si>
  <si>
    <t>ms</t>
  </si>
  <si>
    <t>Time for the crankshaft to complete a half-turn</t>
  </si>
  <si>
    <t>MAP</t>
  </si>
  <si>
    <t>map.</t>
  </si>
  <si>
    <t>MAPUnfilt = MAPRaw * C_MAPSignalConvSlope + C_MAPSignalConvIntercept</t>
  </si>
  <si>
    <t>MAPUnfilt</t>
  </si>
  <si>
    <t>True manifold pressure signal before filtering, read at the calibrated manifold pressure reading angle MAPReadAngle</t>
  </si>
  <si>
    <t>MAPRaw</t>
  </si>
  <si>
    <t>%</t>
  </si>
  <si>
    <t xml:space="preserve">Percentage of MAP sensor voltage signal divided by 5V </t>
  </si>
  <si>
    <t>15.6ms</t>
  </si>
  <si>
    <t>MAPReadAngle = CT_MAPReadAngleMain(VACActual)</t>
  </si>
  <si>
    <t>MAPReadAngle</t>
  </si>
  <si>
    <t>Deg</t>
  </si>
  <si>
    <t>Crank angle (degrees after exhaust TDC) for reading manifold pressure signal</t>
  </si>
  <si>
    <t>MAPActual = ApplyFILT_1stOrderLag_usp(MAPActual,MAPUnfilt, C_MAPFiltCoef)</t>
  </si>
  <si>
    <t>MAPActual</t>
  </si>
  <si>
    <t>Derived from MAPUnfilt using a first-order filter with coefficient C_MAPFiltCoef</t>
  </si>
  <si>
    <t>MAPReadAngleDel = MAPReadAngle - C_TargetWheelErrorOfst</t>
  </si>
  <si>
    <t>MAPReadAngleDel</t>
  </si>
  <si>
    <t>Adjusted by C_TargetWheelErrorOfst and constrained between C_MAPReadingAngleMinLimit and C_MAPReadingAngleMaxLimit</t>
  </si>
  <si>
    <t>7.8ms</t>
  </si>
  <si>
    <t>MAPAltComp = CT_AltMAPCalcMult * (MAPActual - C_AltMAPCalcOffset) + C_AltMAPCalcOffset</t>
  </si>
  <si>
    <t>MAPAltComp</t>
  </si>
  <si>
    <t>Manifold pressure adjusted for altitude (maximum corrected to 100 kPa at high altitudes)</t>
  </si>
  <si>
    <t>7.8ms.</t>
  </si>
  <si>
    <t>MAPEstimated = CT_MAPEstimateMain(EngineSpeed,TPS)</t>
  </si>
  <si>
    <t>MAPEstimated</t>
  </si>
  <si>
    <t>Obtained from CT_MAPEstimateMain based on speed and throttle position</t>
  </si>
  <si>
    <t>NominalBaro = Baro/C_ReferenceBaro</t>
  </si>
  <si>
    <t>C_ReferenceBaro</t>
  </si>
  <si>
    <t>Atmospheric pressure during bench testing</t>
  </si>
  <si>
    <t>NominalBaro</t>
  </si>
  <si>
    <t xml:space="preserve">Directly assigned 1.0 if C_TurboEngUsed enabled, </t>
  </si>
  <si>
    <t>MAPEstCorr = MAPEstimated * NominalBaro</t>
  </si>
  <si>
    <t>MAPExpected = MAPEstCorr * AFCMult</t>
  </si>
  <si>
    <t>Directly assigned from MAPActual when throttle position TPS is below C_ExpectMAPUsedTPSThreshLo and calculation resumes only when TPS exceeds C_ExpectMAPUsedTPSThreshHi.</t>
  </si>
  <si>
    <t>MAPExpAltCmpd = MAPExpected / NominalBaro</t>
  </si>
  <si>
    <t>AFCMult</t>
  </si>
  <si>
    <t>AFCLMet = true if all the following conditions are met for more than C_AFLCSteadyStateTime</t>
  </si>
  <si>
    <t>TPS &lt; CT_AFLCTPSMaxThresh(EngineSpeed) and below the last grid point in CT_AFLCCellTPSBoundary</t>
  </si>
  <si>
    <t>TPSDiffF2UF &lt; C_AFLCTPSDeltaThresh.</t>
  </si>
  <si>
    <t>EngSpdErrF2UF &lt; C_AFLCEngSpdDeltaThresh</t>
  </si>
  <si>
    <t>Cylinder identification success (CIDSucceed).</t>
  </si>
  <si>
    <t>Baro &gt; C_AFLCBaroMinThresh</t>
  </si>
  <si>
    <t>EngineSpeed is between C_AFLCEngSpdMinThresh and C_AFLCEngSpdMaxThresh.</t>
  </si>
  <si>
    <t>CoolTemp is between C_AFLCCoolTempMinThresh and C_AFLCCoolTempMaxThresh.</t>
  </si>
  <si>
    <t>ChrgAirTmpCyl1 is between C_AFLCChargeAirTempMinThresh and C_AFLCChargeAirTempMaxThresh.</t>
  </si>
  <si>
    <t>No faults in MAP and TPS signals; default values are not being used</t>
  </si>
  <si>
    <r>
      <rPr>
        <sz val="11"/>
        <color theme="4" tint="-0.25"/>
        <rFont val="Malgun Gothic"/>
        <charset val="134"/>
      </rPr>
      <t>AFCFiltExpMAPMult = ApplyFILT_1stOrderLag_usp(AFCFiltExpMAPMult,</t>
    </r>
    <r>
      <rPr>
        <u/>
        <sz val="11"/>
        <color theme="4" tint="-0.25"/>
        <rFont val="Malgun Gothic"/>
        <charset val="134"/>
      </rPr>
      <t>AFCFiltMAP / MAPEstCorr</t>
    </r>
    <r>
      <rPr>
        <sz val="11"/>
        <color theme="4" tint="-0.25"/>
        <rFont val="Malgun Gothic"/>
        <charset val="134"/>
      </rPr>
      <t>, C_AFLCMultLearnCoef)</t>
    </r>
  </si>
  <si>
    <t xml:space="preserve">CT_AFLCCellEngSpdBoundary </t>
  </si>
  <si>
    <t xml:space="preserve">Grid boundaries </t>
  </si>
  <si>
    <t xml:space="preserve">CT_AFLCCellTPSBoundary </t>
  </si>
  <si>
    <t xml:space="preserve">C_AFLCCellEngSpdBoundaryHyst </t>
  </si>
  <si>
    <t>Prevents frequent switching between adjacent grids.</t>
  </si>
  <si>
    <t>C_AFLCCellTPSBoundaryHyst</t>
  </si>
  <si>
    <t xml:space="preserve">C_AFLCLearnedMultMin </t>
  </si>
  <si>
    <t>C_AFLCLearnedMultMax</t>
  </si>
  <si>
    <t>AFCCell[AFCCellNum] = AFCFiltExpMAPMult</t>
  </si>
  <si>
    <t>AFCMult = AFCCell[AFCCellNum]</t>
  </si>
  <si>
    <t>Volumetric Efficiency (VE)</t>
  </si>
  <si>
    <t>VECylx = CT_VEMainHighLoadCylx(EngineSpeed,MAPExpAltCmpd) * CT_VEAltCorrFactor(Baro,MAPExpAltCmpd)</t>
  </si>
  <si>
    <t>Charge Air Temperature</t>
  </si>
  <si>
    <t>CATFactorCyl1 = CT_ChargeAirTempFactorCyl1(EngineSpeed,MAPExpected) + CT_CATFactorCLTIATCorr(CoolTemp,IntakeAirTemp)</t>
  </si>
  <si>
    <r>
      <rPr>
        <sz val="11"/>
        <color theme="4" tint="-0.25"/>
        <rFont val="Malgun Gothic"/>
        <charset val="134"/>
      </rPr>
      <t xml:space="preserve">ChrgAirTmpCyl1 = ApplyFILT_1stOrderLag_ssp(ChrgAirTmpCyl1, </t>
    </r>
    <r>
      <rPr>
        <u/>
        <sz val="11"/>
        <color theme="4" tint="-0.25"/>
        <rFont val="Malgun Gothic"/>
        <charset val="134"/>
      </rPr>
      <t>CoolTemp - CATFactorCyl1 * (CoolTemp - IntakeAirTemp)</t>
    </r>
    <r>
      <rPr>
        <sz val="11"/>
        <color theme="4" tint="-0.25"/>
        <rFont val="Malgun Gothic"/>
        <charset val="134"/>
      </rPr>
      <t>, C_ChargeAirTempFiltCoef)</t>
    </r>
  </si>
  <si>
    <t>Atmospheric Pressure Update (Baro)</t>
  </si>
  <si>
    <t>62.5ms</t>
  </si>
  <si>
    <t>Baro = ApplyFILT_1stOrderLag_usp(Baro, MAP, C_BaroUpdtFiltCoefStall)</t>
  </si>
  <si>
    <t>Stability Check</t>
  </si>
  <si>
    <t>If the difference between the manifold pressure (MAP) readings across C_BaroStallUpdateMAPCheckTimes (sampled every 62.5 ms) is within C_DeltaMAPThrshForBaroUpdtStall, MAP is considered stable.</t>
  </si>
  <si>
    <t>Baro = ApplyFILT_1stOrderLag_usp(Baro,MAP, C_BaroUpdtFiltCoefRun)</t>
  </si>
  <si>
    <t>Pressure read at tooth CT_BaroReadTooth(EngineSpeed)  + CT_BaroUpdtEngRunOfstMain(EngineSpeed, TPS)</t>
  </si>
  <si>
    <t>C_BaroMinLimit</t>
  </si>
  <si>
    <t>C_BaroMaxLimit</t>
  </si>
  <si>
    <t>C_BaroDefault</t>
  </si>
  <si>
    <t>Baro assigned from C_BaroDefault if MAP faults present</t>
  </si>
  <si>
    <t>Conditions for Update</t>
  </si>
  <si>
    <t>1. Cylinder detection is successful (CIDSucceed).</t>
  </si>
  <si>
    <t xml:space="preserve">2. Engine speed (EngineSpeed) &lt; C_BaroUpdtEngSpdThrshHi, and speed fluctuation (EngSpdErrF2UF) &lt; C_BaroUpdateDltEngSpdThresh. </t>
  </si>
  <si>
    <t xml:space="preserve">3. Throttle position (TPS) is between CT_BaroUpdtEngRunTPSMinThresh and CT_BaroUpdtEngRunTPSMaxThresh. </t>
  </si>
  <si>
    <t xml:space="preserve">4. TPS fluctuation (TPSDiffF2UF) &lt; C_BaroUpdtEngRunTPSDeltaMaxThrsh. </t>
  </si>
  <si>
    <t>Start Air-Fuel Ratio (AFR)</t>
  </si>
  <si>
    <t>31.2ms</t>
  </si>
  <si>
    <t>AFRTarget = CT_AFRCrank_XX(CoolTemp) + CT_AFRCrankBaroComp(Baro) - AFRCrkRSOfst;      XX :  NG, LPG, etc</t>
  </si>
  <si>
    <t>AFRCrkRSOfst  Behavior</t>
  </si>
  <si>
    <t>Details</t>
  </si>
  <si>
    <t>Initialization</t>
  </si>
  <si>
    <t>Upon power-up, AFRCrkRSOfst is initialized to C_CrankAFROffset.</t>
  </si>
  <si>
    <t>Decay During Cranking</t>
  </si>
  <si>
    <t>1. During cranking, after the engine has rotated for C_CrankAFROffsetDecayDelay half-turns, AFRCrkRSOfst starts to decay.</t>
  </si>
  <si>
    <t>2. Every C_CrankAFROffsetDecayInterval, AFRCrkRSOfst is reduced by a factor of C_CrankAFROffsetDecayFactor</t>
  </si>
  <si>
    <t>Reinitialization Conditions</t>
  </si>
  <si>
    <t>1. CoolTemp exceeds C_CrankAFROffsetResetCltTempThrsh</t>
  </si>
  <si>
    <t>2. RunTime exceeds C_CrankAFROffsetResetRunTimeThrsh.</t>
  </si>
  <si>
    <t>Run Air-Fuel Ratio (AFR)</t>
  </si>
  <si>
    <t>Power Enrichment Mode</t>
  </si>
  <si>
    <t>AFRTarget = CT_AFRPowerEnrich(EngineSpeed,TPS) * CT_AFRPECoolTempMult(CoolTemp)</t>
  </si>
  <si>
    <t>PowerEnrich</t>
  </si>
  <si>
    <t>Activation</t>
  </si>
  <si>
    <t>TPS exceeds CT_PowerEnrichEnbTPSThresh(EngineSpeed)</t>
  </si>
  <si>
    <t>Deactivation</t>
  </si>
  <si>
    <t>1. TPS falls below CT_PowerEnrichEnbTPSThresh(EngineSpeed) - C_PowerEnrichDsblTPSThrshHyst</t>
  </si>
  <si>
    <t>2. The condition lasts longer than CT_PowerEnrichExitDelay(EngineSpeed)</t>
  </si>
  <si>
    <t>Extended Power Enrichment Mode</t>
  </si>
  <si>
    <r>
      <rPr>
        <sz val="11"/>
        <color theme="4" tint="-0.25"/>
        <rFont val="Malgun Gothic"/>
        <charset val="134"/>
      </rPr>
      <t>AFRTarget = CT_AFRPowerEnrich(EngineSpeed,TPS)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C_ExtPEModeAFRExtraOffset</t>
    </r>
  </si>
  <si>
    <t>ExtPEModeEnb</t>
  </si>
  <si>
    <t>CoolTemp exceeds C_ExtPEModeCoolTempThresh and stays high for longer than C_ExtPEModeEnableDelay</t>
  </si>
  <si>
    <t>Extended mode exits when power enrichment mode is deactivated for longer than C_ExtPEModeDisableDelay</t>
  </si>
  <si>
    <t>Closed-Loop Mode</t>
  </si>
  <si>
    <t>AFRTarget = C_ClosedLoopAFR</t>
  </si>
  <si>
    <t>Closed-loop fuel control is enabled when FuelCLEnbCyl1 is set, and coolant temperature (CoolTemp) exceeds C_CLAFREnbCoolTempThresh</t>
  </si>
  <si>
    <t>Open-Loop Mode</t>
  </si>
  <si>
    <r>
      <rPr>
        <sz val="11"/>
        <color theme="4" tint="-0.25"/>
        <rFont val="Malgun Gothic"/>
        <charset val="134"/>
      </rPr>
      <t>AFRTarget = CT_AirFuelRatioBase(EngineSpeed,MAPExpected)×CT_AirFuelRatioBaseCoolTempMult(CoolTemp)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AFRWarmUp</t>
    </r>
  </si>
  <si>
    <t>Open-loop mode is active when closed-loop is not enabled, and the engine is not in power enrichment mode.</t>
  </si>
  <si>
    <t xml:space="preserve">Lean Limit </t>
  </si>
  <si>
    <t>The base AFR is limited by CT_AFRLeanLimit(CoolTemp). If acceleration enrichment is activated (AccEnrich = true), the target AFR will be further restricted by C_AFRLeanLimitDuringAE.</t>
  </si>
  <si>
    <t>AFR Warm-Up Correction</t>
  </si>
  <si>
    <t>Aspect</t>
  </si>
  <si>
    <t>Purpose</t>
  </si>
  <si>
    <t>AFRWarmUp helps transition the air-fuel ratio from startup to warm-up or closed-loop AFR. It decays gradually to 0 during the warm-up phase.</t>
  </si>
  <si>
    <t>Idle and Run Warm-Up Corrections</t>
  </si>
  <si>
    <t>AFRWarmUpIdle is used for cold start idle conditions, and AFRWarmUpRun is used for non-idle conditions.</t>
  </si>
  <si>
    <t xml:space="preserve">Initial Values </t>
  </si>
  <si>
    <t>AFRWarmUpRun = CT_AFRWarmUpOffsetRun(CoolTemp)+CT_AFRWarmUpOffsetBaroCompRun(Baro).</t>
  </si>
  <si>
    <t>AFRWarmUpIdle = CT_AFRWarmUpOffsetIdle(CoolTemp)+CT_AFRWarmUpOffsetBaroCompIdle(Baro).</t>
  </si>
  <si>
    <t>Decay</t>
  </si>
  <si>
    <t>These corrections decay over time by a factor of C_AFRWarmUpOffsetDecayFactor at intervals defined by CT_AFRWarmUpOffsetDecayIntervel.</t>
  </si>
  <si>
    <t>Closed-Loop Mode Transition</t>
  </si>
  <si>
    <t>If the closed-loop AFR condition is met, AFRWarmUpIdle and AFRWarmUpRun are reset to 0.</t>
  </si>
  <si>
    <t xml:space="preserve">Engine Shutdown </t>
  </si>
  <si>
    <t>When the engine shuts off, if AFRWarmUpIdle and AFRWarmUpRun have decayed below 0.1 and the engine coolant temperature exceeds C_ColdEnrichCompTempThresh, both will be reset for the next start.</t>
  </si>
  <si>
    <t>Air-Fuel Ratio Transition</t>
  </si>
  <si>
    <r>
      <rPr>
        <sz val="11"/>
        <color theme="4" tint="-0.25"/>
        <rFont val="Malgun Gothic"/>
        <charset val="134"/>
      </rPr>
      <t>AFRFinal = 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 xml:space="preserve"> (AFRTarget</t>
    </r>
    <r>
      <rPr>
        <sz val="11"/>
        <color theme="4" tint="-0.25"/>
        <rFont val="宋体"/>
        <charset val="134"/>
      </rPr>
      <t>−</t>
    </r>
    <r>
      <rPr>
        <sz val="11"/>
        <color theme="4" tint="-0.25"/>
        <rFont val="Malgun Gothic"/>
        <charset val="134"/>
      </rPr>
      <t>AFRFinal) * C_AFRCrankToRunDecayFactor</t>
    </r>
  </si>
  <si>
    <t xml:space="preserve">Crank to Run Transition </t>
  </si>
  <si>
    <t>Decay Process</t>
  </si>
  <si>
    <t>Every CT_AFRCrankToRunDecayInterval interval, AFRFinal decays towards AFRTarget.</t>
  </si>
  <si>
    <t>End of Transition</t>
  </si>
  <si>
    <t>The transition ends when: AFRFinal exceeds AFRTarget, or  the difference between AFRFinal and AFRTarget is less than 0.1.</t>
  </si>
  <si>
    <t>Reset Flag</t>
  </si>
  <si>
    <t>The AFRCrankToRun flag is reset once the transition is complete.</t>
  </si>
  <si>
    <t>Warm-Up Transition</t>
  </si>
  <si>
    <t>Post-Start Transition</t>
  </si>
  <si>
    <t>After the start-to-run transition ends, the AFR transition continues into the warm-up phase</t>
  </si>
  <si>
    <t>AFRFinal</t>
  </si>
  <si>
    <t>During the warm-up phase, AFRFinal is directly set to AFRTarget.</t>
  </si>
  <si>
    <t>Power Enrichment Mode Transition</t>
  </si>
  <si>
    <t>Power Enrichment Active</t>
  </si>
  <si>
    <t>When power enrichment mode is active (PowerEnrich = true), AFRFinal transitions towards AFRTarget.</t>
  </si>
  <si>
    <t xml:space="preserve">Transition Interval </t>
  </si>
  <si>
    <t>Every C_AFRPERampInterval interval, AFRFinal adjusts towards AFRTarget in steps.</t>
  </si>
  <si>
    <t xml:space="preserve">Step Adjustment </t>
  </si>
  <si>
    <t>Depending on whether AFRFinal needs to increase or decrease, the following steps are applied:</t>
  </si>
  <si>
    <t>Increase: AFRFinal+C_AFRPERampUpStep</t>
  </si>
  <si>
    <r>
      <rPr>
        <sz val="11"/>
        <color theme="1"/>
        <rFont val="Malgun Gothic"/>
        <charset val="134"/>
      </rPr>
      <t>Decrease: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>C_AFRPERampDownStep</t>
    </r>
  </si>
  <si>
    <t>General Mode Transition</t>
  </si>
  <si>
    <t>Every C_AFRRampIntervalRun interval, AFRFinal changes in steps.</t>
  </si>
  <si>
    <t xml:space="preserve">Idle vs. Run Transition </t>
  </si>
  <si>
    <t>Depending on whether the engine is in idle or non-idle state, the following step sizes are applied:</t>
  </si>
  <si>
    <r>
      <rPr>
        <sz val="11"/>
        <color theme="1"/>
        <rFont val="Malgun Gothic"/>
        <charset val="134"/>
      </rPr>
      <t>Idle :  AFRFinal+C_AFRRampUpStepIdle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</si>
  <si>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r>
      <rPr>
        <sz val="11"/>
        <color theme="1"/>
        <rFont val="Malgun Gothic"/>
        <charset val="134"/>
      </rPr>
      <t>Run:   AFRFinal+C_AFRRampUpStepRun (increasing), or AFRFinal</t>
    </r>
    <r>
      <rPr>
        <sz val="11"/>
        <color theme="1"/>
        <rFont val="宋体"/>
        <charset val="134"/>
      </rPr>
      <t>−</t>
    </r>
    <r>
      <rPr>
        <sz val="11"/>
        <color theme="1"/>
        <rFont val="Malgun Gothic"/>
        <charset val="134"/>
      </rPr>
      <t xml:space="preserve">C_AFRRampDownStep (decreasing). </t>
    </r>
  </si>
  <si>
    <t>Oxygen Sensor Heating Enable Conditions</t>
  </si>
  <si>
    <t>O2HeaterOutputEnable = 1 if all of following conditions are met</t>
  </si>
  <si>
    <t xml:space="preserve">1. C_HeatedO2SensorUsed = 1 </t>
  </si>
  <si>
    <t>2. C_O2HeaterEnbKeyOnDelay &lt; Key-on time, and engine is started</t>
  </si>
  <si>
    <t>3. IGNVolt &lt; C_MaxBatteryVoltForO2Heater</t>
  </si>
  <si>
    <t>4. No oxygen sensor heating-related faults</t>
  </si>
  <si>
    <t xml:space="preserve">5. ClTStartup &gt; C_O2HeaterCoolantTempThresh or O2HtAccFuelMass &gt; CT_O2HeaterAccFuelMassThresh(ClTStartup) </t>
  </si>
  <si>
    <t>Accumulated Fuel Mass Calculation</t>
  </si>
  <si>
    <t xml:space="preserve">O2HtAccFuelMass = O2HtAccFuelMass + (all FinalFPWCyls * InjectorFlow / 1000) </t>
  </si>
  <si>
    <t>O2HtAccFuelMass</t>
  </si>
  <si>
    <t>Updated every C_O2HeaterAccFuelMassUpdateTime interval; all FinalFPWCyls = FinalFPWCyl1 + FinalFPWCyl2 + .....</t>
  </si>
  <si>
    <t>Oxygen Sensor Heater Duty Cycle Calculation</t>
  </si>
  <si>
    <t xml:space="preserve">O2HeaterDutyCycle = CT_O2HeaterDutyCycleMain(CoolTemp) * C_O2HeaterDCReducedFactor </t>
  </si>
  <si>
    <t xml:space="preserve">High Load </t>
  </si>
  <si>
    <t xml:space="preserve">EngineSpeed &gt; C_O2HeaterDCReducedEngSpdThrsh and MAPExpected &gt; C_O2HeaterDCReducedMAPThrsh </t>
  </si>
  <si>
    <t xml:space="preserve">O2HeaterDutyCycle = CT_O2HeaterDutyCycleMain(CoolTemp) * C_O2HeaterDCNormFactor </t>
  </si>
  <si>
    <t>Normal</t>
  </si>
  <si>
    <t xml:space="preserve">In other conditions </t>
  </si>
  <si>
    <t>Oxygen Sensor Signal Processing for Closed-Loop Control</t>
  </si>
  <si>
    <t xml:space="preserve">FO21Filt (Filtered O2 Voltage) </t>
  </si>
  <si>
    <t>FO2Filt = ApplyFILT_1stOrderLag_usp(FO2Filt, O2Volt , CT_O2SignalFiltCoef(EngineSpeed));</t>
  </si>
  <si>
    <t xml:space="preserve">FO21Filt Reset </t>
  </si>
  <si>
    <t>FO21Filt is reset to 450mV when FuelINTRstCyl1 = true is triggered</t>
  </si>
  <si>
    <t xml:space="preserve">FO21Rich (Rich State of Original O2 Signal) </t>
  </si>
  <si>
    <t xml:space="preserve">O2Volt &gt; FO2RLThresh + WindowDelta for rich, O2Volt &lt; FO2RLThresh - WindowDelta for lean </t>
  </si>
  <si>
    <t xml:space="preserve">FO21FiltRich (Rich State of Filtered O2 Signal) </t>
  </si>
  <si>
    <t xml:space="preserve">FO21Filt &gt; FO2RLThresh for rich, FO21Filt &lt; FO2RLThresh for lean </t>
  </si>
  <si>
    <t xml:space="preserve">FO2RLThresh (Base Rich-Lean Threshold) </t>
  </si>
  <si>
    <t xml:space="preserve">FO2RLThresh = CT_FuelO2RichLeanThreshBase_XXX(MAPExpected, EngineSpeed) </t>
  </si>
  <si>
    <t xml:space="preserve">Rich/Lean Window (WindowDelta) </t>
  </si>
  <si>
    <t xml:space="preserve">Non-idle: C_FuelO2RichLeanWindowDelta, Idle: C_FuelO2RichLeanWindowDelta / 2 </t>
  </si>
  <si>
    <t xml:space="preserve">FO21Error (Oxygen Signal Error) </t>
  </si>
  <si>
    <t>FO21Error = |FO2RLThresh - FO21Filt| - CT_O2ErrorCalcOffset(EngineSpeed),   result constrained betweent 0 and C_O2ErrorMaxLimit</t>
  </si>
  <si>
    <t>FO21Ready (Oxygen Sensor Readiness)</t>
  </si>
  <si>
    <t xml:space="preserve">O2Volt &lt; C_O2ReadyThresh sustained for C_O2ReadyTimeThresh for readiness, or O2Volt &gt; C_O2ReadyThresh sustained for C_O2ReadyResetTimeThresh to reset </t>
  </si>
  <si>
    <t xml:space="preserve">Oxygen Signal High at Low Temperature </t>
  </si>
  <si>
    <t>O2Volt &gt; 1V when the sensor is not yet ready</t>
  </si>
  <si>
    <t>Closed-Loop Fuel Control Enable Conditions</t>
  </si>
  <si>
    <t>FuelCLEnbCyl1 = 1 if all of the following conditions are met.</t>
  </si>
  <si>
    <t xml:space="preserve">C_CLFuelControlEnb = 1 </t>
  </si>
  <si>
    <t>Engine state = Run</t>
  </si>
  <si>
    <t xml:space="preserve">Runtime &gt; C_FuelCLEnbRunTimeThrsh </t>
  </si>
  <si>
    <t xml:space="preserve">CoolTemp &gt; CT_FuelCLEnbCoolTempThrsh(ClTStartup) </t>
  </si>
  <si>
    <t xml:space="preserve">FO21Ready = 1 </t>
  </si>
  <si>
    <t xml:space="preserve">No sensor or actuator faults present. </t>
  </si>
  <si>
    <t>Closed-Loop Fuel Correction on Injector Pulse Width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</si>
  <si>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×INTRatioCyl1     if C_CLFuelIntegralMultUsed = 1</t>
    </r>
  </si>
  <si>
    <t>FuelINTCyl1 = FuelINTCyl1 +- FuelPropCyl1 / C_FuelSTFuelTrimPctConvFactor</t>
  </si>
  <si>
    <t>INTRatioCyl1=1+FuelINTCyl1×C_FuelSTFuelTrimPctConvFactor</t>
  </si>
  <si>
    <t xml:space="preserve">C_FuelSTFuelTrimPctConvFactor </t>
  </si>
  <si>
    <t>factor for converting the fuel integral into a ratio</t>
  </si>
  <si>
    <r>
      <rPr>
        <sz val="11"/>
        <color theme="1"/>
        <rFont val="Malgun Gothic"/>
        <charset val="134"/>
      </rPr>
      <t>FPWClCorrCyl1=BaseFPWCyl1×</t>
    </r>
    <r>
      <rPr>
        <u/>
        <sz val="11"/>
        <color theme="1"/>
        <rFont val="Malgun Gothic"/>
        <charset val="134"/>
      </rPr>
      <t>(CT_ColdEngFPWMultIdle(CoolTemp) or CT_ColdEngFPWMultRun(CoolTemp))</t>
    </r>
    <r>
      <rPr>
        <sz val="11"/>
        <color theme="1"/>
        <rFont val="Malgun Gothic"/>
        <charset val="134"/>
      </rPr>
      <t>+FuelCLTermCyl1   if C_CLFuelIntegralMultUsed = 0</t>
    </r>
  </si>
  <si>
    <t>FuelCLTermCyl1=FuelINTCyl1×C_FuelSTFuelTrimPWConvFactor±BaseFPWCyl1×FuelPropCyl1</t>
  </si>
  <si>
    <t>C_FuelSTFuelTrimPWConvFactor Calibration</t>
  </si>
  <si>
    <t xml:space="preserve"> factor for converting the integral value to a pulse width</t>
  </si>
  <si>
    <t>Closed-Loop Fuel Reset Conditions</t>
  </si>
  <si>
    <t>FuelINTRstCyl1 = 1 if any of the following conditions are met</t>
  </si>
  <si>
    <t>FuelCLEnbCyl1 = 0</t>
  </si>
  <si>
    <t>PowerEnrich = 1, and FuelINTCyl1 &lt; 0</t>
  </si>
  <si>
    <t>Ignition coil failure</t>
  </si>
  <si>
    <r>
      <rPr>
        <sz val="11"/>
        <color theme="1"/>
        <rFont val="Malgun Gothic"/>
        <charset val="134"/>
      </rPr>
      <t xml:space="preserve">Low-temperature, high-load condition (when reducing fuel)  </t>
    </r>
    <r>
      <rPr>
        <sz val="11"/>
        <color theme="1"/>
        <rFont val="宋体"/>
        <charset val="134"/>
      </rPr>
      <t>：</t>
    </r>
    <r>
      <rPr>
        <sz val="11"/>
        <color theme="1"/>
        <rFont val="Malgun Gothic"/>
        <charset val="134"/>
      </rPr>
      <t xml:space="preserve">   FuelINTCyl1 &lt; 0  AND  CoolTemp &lt; C_FuelSTFTRichClampCltThrsh  AND VACActual &lt; C_FuelSTFTRichClampVacThrsh</t>
    </r>
  </si>
  <si>
    <t>Closed-Loop Fuel P-item</t>
  </si>
  <si>
    <t>FuelPropCyl1 = C_FuelPropLowLoadCond * CT_FuelPropO2ErrMult(FO21Error)  if FPropLoLoadCond = 1</t>
  </si>
  <si>
    <t>FuelPropCyl1 = CT_FuelPropRichToLean(MAPExpected, EngineSpeed) *CT_FuelPropO2ErrMult(FO21Error)  if FPropLoLoadCond = 0 AND  FO21Rich = 1</t>
  </si>
  <si>
    <t>FuelPropCyl1 = CT_FuelPropLeanToRich(MAPExpected, EngineSpeed) * CT_FuelPropO2ErrMult(FO21Error)  if FPropLoLoadCond = 0 AND FO21Rich = 0</t>
  </si>
  <si>
    <t>FPropLoLoadCond</t>
  </si>
  <si>
    <r>
      <rPr>
        <sz val="11"/>
        <color theme="1"/>
        <rFont val="Malgun Gothic"/>
        <charset val="134"/>
      </rPr>
      <t xml:space="preserve">FPropLoLoadCond is set to 1  if EngineSpeed &lt; C_FuellLowLoadCondEngSpdThrsh AND MAPAltComp </t>
    </r>
    <r>
      <rPr>
        <sz val="11"/>
        <color theme="1"/>
        <rFont val="宋体"/>
        <charset val="134"/>
      </rPr>
      <t xml:space="preserve">&lt; </t>
    </r>
    <r>
      <rPr>
        <sz val="11"/>
        <color theme="1"/>
        <rFont val="Malgun Gothic"/>
        <charset val="134"/>
      </rPr>
      <t>C_FuellLowLoadCondMAPThrsh</t>
    </r>
  </si>
  <si>
    <t xml:space="preserve">FPropAddFuelCyl </t>
  </si>
  <si>
    <t>updated until CT_FuelPropMinDuration(EngineSpeed) ends  if FPropLoLoadCond = 0</t>
  </si>
  <si>
    <t>updated real-time if FPropLoLoadCond = 1</t>
  </si>
  <si>
    <t>FPropRichHold</t>
  </si>
  <si>
    <t>activated every time FPropAddFuelCyl =1 begins, lasts for CT_FuelPropRichBiasHoldTimeGain(EngineSpeed)*FuelINTDlyCyl1</t>
  </si>
  <si>
    <t>Closed-Loop Fuel I-Term</t>
  </si>
  <si>
    <t>FuelINTCyl1 + 1 if FO21FiltRich = 0  once FuelINTDlyPass is set to 1</t>
  </si>
  <si>
    <t>FuelINTCyl1 - 1 if FO21FiltRich = 1  once FuelINTDlyPass is set to 1</t>
  </si>
  <si>
    <t>FuelINTDlyCyl1 = CT_FuelCLIntLearningDelay(EngineSpeed) * CT_FuelCLIntDelayO2ErrMult(FO21Error)</t>
  </si>
  <si>
    <t>FuelINTDlyPass</t>
  </si>
  <si>
    <t>set to 1 once FuelINTDlyCyl1 ends</t>
  </si>
  <si>
    <t>C_FuelSTFuelTrimMin</t>
  </si>
  <si>
    <t>constrain min of FuelINTCyl1</t>
  </si>
  <si>
    <t>C_FuelSTFuelTrimMax</t>
  </si>
  <si>
    <t>constrain max of FuelINTCyl1</t>
  </si>
  <si>
    <t>C_FuelSTFuelTrimMaxPE</t>
  </si>
  <si>
    <t>constrain max of FuelINTCyl1 if PowerEnrich = 1</t>
  </si>
  <si>
    <t>Injection Pulse Width Calculation</t>
  </si>
  <si>
    <t>BaseFPWCyl1 = (BaseFuelMassCyl1 + TranFuelDltCyl1) / InjectorFlow * 1000</t>
  </si>
  <si>
    <r>
      <rPr>
        <sz val="11"/>
        <color theme="1"/>
        <rFont val="Malgun Gothic"/>
        <charset val="134"/>
      </rPr>
      <t xml:space="preserve">FPWClCorrCyl1 = Refer to </t>
    </r>
    <r>
      <rPr>
        <sz val="11"/>
        <color theme="5" tint="-0.25"/>
        <rFont val="Malgun Gothic"/>
        <charset val="134"/>
      </rPr>
      <t>Closed-Loop Fuel Correction on Injector Pulse Width</t>
    </r>
  </si>
  <si>
    <t>FinalFPWCyl1 = CT_FPWCorrFactorForFPVolt(IGNVolt) * CT_FPWCorrFactorForFuelPressure_XXX(FuelPressureRelative, MAPExpected)</t>
  </si>
  <si>
    <t>C_FPWMinThresh</t>
  </si>
  <si>
    <t>constrain min of FinalFPWCyl1</t>
  </si>
  <si>
    <t>C_FPWMaxThresh</t>
  </si>
  <si>
    <t>constrain max of FinalFPWCyl1</t>
  </si>
  <si>
    <t>C_FPWIgnoreThresh</t>
  </si>
  <si>
    <t>force FinalFPWCyl1 to 0 if less than C_FPWIgnoreThresh, set it to 0 if NG or LPG applied</t>
  </si>
  <si>
    <t>CT_InjectorOffset(IGNVolt)</t>
  </si>
  <si>
    <t>set it to 0 if NG or LPG applied</t>
  </si>
  <si>
    <t>TranFuelDltCyl</t>
  </si>
  <si>
    <t>Transient fuel compensation (adjustment due to transient states).</t>
  </si>
  <si>
    <t>CT_XXXXXX(A,B)</t>
  </si>
  <si>
    <t>ApplyFILT_1stOrderLag_usp(LfFILT_Old,LfFILT_New,LfFILT_k_Coeff )</t>
  </si>
  <si>
    <t>B1</t>
  </si>
  <si>
    <t>B2</t>
  </si>
  <si>
    <t>B3</t>
  </si>
  <si>
    <t>B4</t>
  </si>
  <si>
    <t>B5</t>
  </si>
  <si>
    <t>B6</t>
  </si>
  <si>
    <t>B7</t>
  </si>
  <si>
    <t>LfFILT_Old</t>
  </si>
  <si>
    <t>Current value to be filtered</t>
  </si>
  <si>
    <t>A1</t>
  </si>
  <si>
    <t>LfFILT_New</t>
  </si>
  <si>
    <t>New input value</t>
  </si>
  <si>
    <t>A2</t>
  </si>
  <si>
    <t>LfFILT_k_Coeff</t>
  </si>
  <si>
    <t>Filter Coefficient</t>
  </si>
  <si>
    <t>A3</t>
  </si>
  <si>
    <t>A4</t>
  </si>
  <si>
    <t>A5</t>
  </si>
  <si>
    <t>A6</t>
  </si>
  <si>
    <t>A7</t>
  </si>
  <si>
    <t>A8</t>
  </si>
  <si>
    <t>A9</t>
  </si>
  <si>
    <t>A10</t>
  </si>
  <si>
    <t>Temperature °C</t>
  </si>
  <si>
    <t>Resistance Ω</t>
  </si>
  <si>
    <t>Volts to percent</t>
  </si>
  <si>
    <t>Volts Read by ECU (V)</t>
  </si>
  <si>
    <t>Volts to Percent</t>
  </si>
  <si>
    <t>TPS Value</t>
  </si>
  <si>
    <t>Slope</t>
  </si>
  <si>
    <t>Intercept</t>
  </si>
  <si>
    <t>Volts read by ECU (V)</t>
  </si>
  <si>
    <t>MAP value (KPA)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</si>
</sst>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4">
    <font>
      <sz val="11"/>
      <color theme="1"/>
      <name val="宋体"/>
      <charset val="134"/>
      <scheme val="minor"/>
    </font>
    <font>
      <sz val="11"/>
      <color rgb="FF000000"/>
      <name val="宋体"/>
      <charset val="1"/>
    </font>
    <font>
      <sz val="11"/>
      <color rgb="FF000000"/>
      <name val="宋体"/>
      <charset val="134"/>
    </font>
    <font>
      <sz val="11"/>
      <color theme="1"/>
      <name val="Malgun Gothic"/>
      <charset val="134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1"/>
      <color theme="1"/>
      <name val="Malgun Gothic"/>
      <charset val="134"/>
    </font>
    <font>
      <sz val="11"/>
      <color theme="4" tint="-0.25"/>
      <name val="Malgun Gothic"/>
      <charset val="134"/>
    </font>
    <font>
      <sz val="11"/>
      <name val="Malgun Gothic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u/>
      <sz val="11"/>
      <color theme="1"/>
      <name val="Malgun Gothic"/>
      <charset val="134"/>
    </font>
    <font>
      <sz val="11"/>
      <color theme="5" tint="-0.25"/>
      <name val="Malgun Gothic"/>
      <charset val="134"/>
    </font>
    <font>
      <u/>
      <sz val="11"/>
      <color theme="4" tint="-0.25"/>
      <name val="Malgun Gothic"/>
      <charset val="134"/>
    </font>
    <font>
      <sz val="11"/>
      <color theme="4" tint="-0.25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rgb="FF00A933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B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Fill="1" applyAlignment="1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10" fontId="1" fillId="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workbookViewId="0">
      <pane xSplit="1" ySplit="1" topLeftCell="B72" activePane="bottomRight" state="frozen"/>
      <selection/>
      <selection pane="topRight"/>
      <selection pane="bottomLeft"/>
      <selection pane="bottomRight" activeCell="E99" sqref="E99"/>
    </sheetView>
  </sheetViews>
  <sheetFormatPr defaultColWidth="9" defaultRowHeight="16.5" outlineLevelCol="5"/>
  <cols>
    <col min="1" max="1" width="15" style="10" customWidth="1"/>
    <col min="2" max="2" width="19" style="11" customWidth="1"/>
    <col min="3" max="3" width="36.625" style="11" customWidth="1"/>
    <col min="4" max="4" width="9" style="11"/>
    <col min="5" max="5" width="120.5" style="12" customWidth="1"/>
    <col min="6" max="16384" width="9" style="11"/>
  </cols>
  <sheetData>
    <row r="1" spans="1:2">
      <c r="A1" s="10" t="s">
        <v>0</v>
      </c>
      <c r="B1" s="10" t="s">
        <v>1</v>
      </c>
    </row>
    <row r="2" spans="1:2">
      <c r="A2" s="10" t="s">
        <v>2</v>
      </c>
      <c r="B2" s="24" t="s">
        <v>3</v>
      </c>
    </row>
    <row r="4" spans="3:5">
      <c r="C4" s="11" t="s">
        <v>4</v>
      </c>
      <c r="D4" s="11" t="s">
        <v>5</v>
      </c>
      <c r="E4" s="12" t="s">
        <v>6</v>
      </c>
    </row>
    <row r="5" spans="3:5">
      <c r="C5" s="11" t="s">
        <v>7</v>
      </c>
      <c r="D5" s="11" t="s">
        <v>8</v>
      </c>
      <c r="E5" s="12" t="s">
        <v>9</v>
      </c>
    </row>
    <row r="6" spans="3:5">
      <c r="C6" s="11" t="s">
        <v>10</v>
      </c>
      <c r="E6" s="12" t="s">
        <v>11</v>
      </c>
    </row>
    <row r="7" spans="3:5">
      <c r="C7" s="11" t="s">
        <v>12</v>
      </c>
      <c r="D7" s="11" t="s">
        <v>13</v>
      </c>
      <c r="E7" s="12" t="s">
        <v>14</v>
      </c>
    </row>
    <row r="9" spans="1:2">
      <c r="A9" s="10" t="s">
        <v>2</v>
      </c>
      <c r="B9" s="18" t="s">
        <v>15</v>
      </c>
    </row>
    <row r="11" spans="3:5">
      <c r="C11" s="11" t="s">
        <v>16</v>
      </c>
      <c r="D11" s="11" t="s">
        <v>17</v>
      </c>
      <c r="E11" s="12" t="s">
        <v>18</v>
      </c>
    </row>
    <row r="12" spans="3:5">
      <c r="C12" s="11" t="s">
        <v>19</v>
      </c>
      <c r="D12" s="11" t="s">
        <v>20</v>
      </c>
      <c r="E12" s="12" t="s">
        <v>21</v>
      </c>
    </row>
    <row r="15" spans="2:2">
      <c r="B15" s="17" t="s">
        <v>22</v>
      </c>
    </row>
    <row r="17" spans="1:2">
      <c r="A17" s="10" t="s">
        <v>23</v>
      </c>
      <c r="B17" s="18" t="s">
        <v>24</v>
      </c>
    </row>
    <row r="19" spans="3:5">
      <c r="C19" s="11" t="s">
        <v>25</v>
      </c>
      <c r="D19" s="11" t="s">
        <v>8</v>
      </c>
      <c r="E19" s="12" t="s">
        <v>26</v>
      </c>
    </row>
    <row r="20" spans="3:5">
      <c r="C20" s="11" t="s">
        <v>27</v>
      </c>
      <c r="D20" s="11" t="s">
        <v>28</v>
      </c>
      <c r="E20" s="12" t="s">
        <v>29</v>
      </c>
    </row>
    <row r="22" spans="1:2">
      <c r="A22" s="10" t="s">
        <v>30</v>
      </c>
      <c r="B22" s="18" t="s">
        <v>31</v>
      </c>
    </row>
    <row r="23" spans="3:5">
      <c r="C23" s="11" t="s">
        <v>32</v>
      </c>
      <c r="D23" s="11" t="s">
        <v>33</v>
      </c>
      <c r="E23" s="12" t="s">
        <v>34</v>
      </c>
    </row>
    <row r="25" spans="1:2">
      <c r="A25" s="10" t="s">
        <v>23</v>
      </c>
      <c r="B25" s="18" t="s">
        <v>35</v>
      </c>
    </row>
    <row r="26" spans="3:5">
      <c r="C26" s="11" t="s">
        <v>36</v>
      </c>
      <c r="D26" s="11" t="s">
        <v>8</v>
      </c>
      <c r="E26" s="12" t="s">
        <v>37</v>
      </c>
    </row>
    <row r="27" spans="2:2">
      <c r="B27" s="18" t="s">
        <v>38</v>
      </c>
    </row>
    <row r="28" spans="3:5">
      <c r="C28" s="11" t="s">
        <v>39</v>
      </c>
      <c r="D28" s="11" t="s">
        <v>33</v>
      </c>
      <c r="E28" s="12" t="s">
        <v>40</v>
      </c>
    </row>
    <row r="30" spans="1:2">
      <c r="A30" s="10" t="s">
        <v>41</v>
      </c>
      <c r="B30" s="18" t="s">
        <v>42</v>
      </c>
    </row>
    <row r="31" spans="3:5">
      <c r="C31" s="11" t="s">
        <v>43</v>
      </c>
      <c r="D31" s="11" t="s">
        <v>8</v>
      </c>
      <c r="E31" s="12" t="s">
        <v>44</v>
      </c>
    </row>
    <row r="33" spans="1:2">
      <c r="A33" s="10" t="s">
        <v>45</v>
      </c>
      <c r="B33" s="18" t="s">
        <v>46</v>
      </c>
    </row>
    <row r="34" spans="3:5">
      <c r="C34" s="11" t="s">
        <v>47</v>
      </c>
      <c r="D34" s="11" t="s">
        <v>8</v>
      </c>
      <c r="E34" s="12" t="s">
        <v>48</v>
      </c>
    </row>
    <row r="36" spans="1:2">
      <c r="A36" s="10" t="s">
        <v>41</v>
      </c>
      <c r="B36" s="11" t="s">
        <v>49</v>
      </c>
    </row>
    <row r="37" spans="3:5">
      <c r="C37" s="11" t="s">
        <v>50</v>
      </c>
      <c r="E37" s="12" t="s">
        <v>51</v>
      </c>
    </row>
    <row r="38" spans="3:5">
      <c r="C38" s="11" t="s">
        <v>52</v>
      </c>
      <c r="E38" s="12" t="s">
        <v>53</v>
      </c>
    </row>
    <row r="39" spans="1:2">
      <c r="A39" s="10" t="s">
        <v>41</v>
      </c>
      <c r="B39" s="18" t="s">
        <v>54</v>
      </c>
    </row>
    <row r="41" spans="1:2">
      <c r="A41" s="10" t="s">
        <v>41</v>
      </c>
      <c r="B41" s="18" t="s">
        <v>55</v>
      </c>
    </row>
    <row r="42" spans="3:5">
      <c r="C42" s="11" t="s">
        <v>7</v>
      </c>
      <c r="D42" s="11" t="s">
        <v>8</v>
      </c>
      <c r="E42" s="12" t="s">
        <v>56</v>
      </c>
    </row>
    <row r="44" spans="1:4">
      <c r="A44" s="10" t="s">
        <v>41</v>
      </c>
      <c r="B44" s="18" t="s">
        <v>57</v>
      </c>
      <c r="D44" s="11" t="s">
        <v>8</v>
      </c>
    </row>
    <row r="46" spans="2:2">
      <c r="B46" s="17" t="s">
        <v>58</v>
      </c>
    </row>
    <row r="47" spans="2:2">
      <c r="B47" s="11" t="s">
        <v>59</v>
      </c>
    </row>
    <row r="48" spans="3:5">
      <c r="C48" s="14" t="s">
        <v>60</v>
      </c>
      <c r="E48" s="23"/>
    </row>
    <row r="49" s="14" customFormat="1" spans="1:5">
      <c r="A49" s="10"/>
      <c r="B49" s="11"/>
      <c r="C49" s="20" t="s">
        <v>61</v>
      </c>
      <c r="D49" s="11"/>
      <c r="E49" s="20"/>
    </row>
    <row r="50" spans="3:3">
      <c r="C50" s="12" t="s">
        <v>62</v>
      </c>
    </row>
    <row r="51" spans="3:3">
      <c r="C51" s="12" t="s">
        <v>63</v>
      </c>
    </row>
    <row r="52" spans="3:3">
      <c r="C52" s="12" t="s">
        <v>64</v>
      </c>
    </row>
    <row r="53" spans="3:3">
      <c r="C53" s="12" t="s">
        <v>65</v>
      </c>
    </row>
    <row r="54" spans="3:3">
      <c r="C54" s="12" t="s">
        <v>66</v>
      </c>
    </row>
    <row r="55" spans="3:3">
      <c r="C55" s="12" t="s">
        <v>67</v>
      </c>
    </row>
    <row r="56" spans="3:3">
      <c r="C56" s="12" t="s">
        <v>68</v>
      </c>
    </row>
    <row r="58" spans="1:2">
      <c r="A58" s="10" t="s">
        <v>30</v>
      </c>
      <c r="B58" s="18" t="s">
        <v>69</v>
      </c>
    </row>
    <row r="60" spans="3:5">
      <c r="C60" s="11" t="s">
        <v>70</v>
      </c>
      <c r="E60" s="12" t="s">
        <v>71</v>
      </c>
    </row>
    <row r="61" spans="3:5">
      <c r="C61" s="11" t="s">
        <v>72</v>
      </c>
      <c r="E61" s="12" t="s">
        <v>71</v>
      </c>
    </row>
    <row r="62" spans="3:5">
      <c r="C62" s="11" t="s">
        <v>73</v>
      </c>
      <c r="E62" s="12" t="s">
        <v>74</v>
      </c>
    </row>
    <row r="63" spans="3:5">
      <c r="C63" s="11" t="s">
        <v>75</v>
      </c>
      <c r="E63" s="12" t="s">
        <v>74</v>
      </c>
    </row>
    <row r="64" spans="3:3">
      <c r="C64" s="11" t="s">
        <v>76</v>
      </c>
    </row>
    <row r="65" spans="3:3">
      <c r="C65" s="11" t="s">
        <v>77</v>
      </c>
    </row>
    <row r="66" spans="1:2">
      <c r="A66" s="10" t="s">
        <v>30</v>
      </c>
      <c r="B66" s="18" t="s">
        <v>78</v>
      </c>
    </row>
    <row r="68" spans="1:2">
      <c r="A68" s="10" t="s">
        <v>30</v>
      </c>
      <c r="B68" s="18" t="s">
        <v>79</v>
      </c>
    </row>
    <row r="71" spans="2:2">
      <c r="B71" s="17" t="s">
        <v>80</v>
      </c>
    </row>
    <row r="73" spans="1:2">
      <c r="A73" s="10" t="s">
        <v>30</v>
      </c>
      <c r="B73" s="18" t="s">
        <v>81</v>
      </c>
    </row>
    <row r="75" spans="2:2">
      <c r="B75" s="17" t="s">
        <v>82</v>
      </c>
    </row>
    <row r="77" spans="1:2">
      <c r="A77" s="10" t="s">
        <v>30</v>
      </c>
      <c r="B77" s="18" t="s">
        <v>83</v>
      </c>
    </row>
    <row r="79" spans="1:2">
      <c r="A79" s="10" t="s">
        <v>30</v>
      </c>
      <c r="B79" s="18" t="s">
        <v>84</v>
      </c>
    </row>
    <row r="82" spans="2:2">
      <c r="B82" s="17" t="s">
        <v>85</v>
      </c>
    </row>
    <row r="84" spans="1:2">
      <c r="A84" s="10" t="s">
        <v>86</v>
      </c>
      <c r="B84" s="18" t="s">
        <v>87</v>
      </c>
    </row>
    <row r="85" spans="3:5">
      <c r="C85" s="11" t="s">
        <v>88</v>
      </c>
      <c r="E85" s="12" t="s">
        <v>89</v>
      </c>
    </row>
    <row r="87" spans="1:2">
      <c r="A87" s="10" t="s">
        <v>86</v>
      </c>
      <c r="B87" s="18" t="s">
        <v>90</v>
      </c>
    </row>
    <row r="88" spans="3:5">
      <c r="C88" s="10" t="s">
        <v>22</v>
      </c>
      <c r="E88" s="12" t="s">
        <v>91</v>
      </c>
    </row>
    <row r="89" spans="3:3">
      <c r="C89" s="11" t="s">
        <v>92</v>
      </c>
    </row>
    <row r="90" spans="3:3">
      <c r="C90" s="11" t="s">
        <v>93</v>
      </c>
    </row>
    <row r="91" spans="3:5">
      <c r="C91" s="11" t="s">
        <v>94</v>
      </c>
      <c r="E91" s="12" t="s">
        <v>95</v>
      </c>
    </row>
    <row r="93" spans="3:3">
      <c r="C93" s="11" t="s">
        <v>96</v>
      </c>
    </row>
    <row r="94" spans="3:3">
      <c r="C94" s="11" t="s">
        <v>97</v>
      </c>
    </row>
    <row r="95" spans="3:6">
      <c r="C95" s="11" t="s">
        <v>98</v>
      </c>
      <c r="F95" s="12"/>
    </row>
    <row r="96" spans="3:6">
      <c r="C96" s="11" t="s">
        <v>99</v>
      </c>
      <c r="F96" s="12"/>
    </row>
    <row r="97" spans="3:3">
      <c r="C97" s="11" t="s">
        <v>100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0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B13" sqref="B13"/>
    </sheetView>
  </sheetViews>
  <sheetFormatPr defaultColWidth="9" defaultRowHeight="16.5" outlineLevelCol="4"/>
  <cols>
    <col min="1" max="1" width="15" style="10" customWidth="1"/>
    <col min="2" max="2" width="19" style="11" customWidth="1"/>
    <col min="3" max="3" width="36.625" style="14" customWidth="1"/>
    <col min="4" max="4" width="120.5" style="12" customWidth="1"/>
    <col min="5" max="16384" width="9" style="11"/>
  </cols>
  <sheetData>
    <row r="1" spans="1:2">
      <c r="A1" s="10" t="s">
        <v>0</v>
      </c>
      <c r="B1" s="10" t="s">
        <v>1</v>
      </c>
    </row>
    <row r="3" spans="2:2">
      <c r="B3" s="15" t="s">
        <v>101</v>
      </c>
    </row>
    <row r="4" spans="1:2">
      <c r="A4" s="10" t="s">
        <v>102</v>
      </c>
      <c r="B4" s="24" t="s">
        <v>103</v>
      </c>
    </row>
    <row r="6" spans="3:4">
      <c r="C6" s="14" t="s">
        <v>104</v>
      </c>
      <c r="D6" s="12" t="s">
        <v>105</v>
      </c>
    </row>
    <row r="7" spans="3:4">
      <c r="C7" s="14" t="s">
        <v>106</v>
      </c>
      <c r="D7" s="12" t="s">
        <v>107</v>
      </c>
    </row>
    <row r="8" spans="3:4">
      <c r="C8" s="14" t="s">
        <v>108</v>
      </c>
      <c r="D8" s="12" t="s">
        <v>109</v>
      </c>
    </row>
    <row r="9" spans="4:4">
      <c r="D9" s="12" t="s">
        <v>110</v>
      </c>
    </row>
    <row r="10" spans="3:4">
      <c r="C10" s="14" t="s">
        <v>111</v>
      </c>
      <c r="D10" s="12" t="s">
        <v>112</v>
      </c>
    </row>
    <row r="11" spans="4:4">
      <c r="D11" s="12" t="s">
        <v>113</v>
      </c>
    </row>
    <row r="13" spans="2:2">
      <c r="B13" s="15" t="s">
        <v>114</v>
      </c>
    </row>
    <row r="14" spans="3:3">
      <c r="C14" s="19" t="s">
        <v>115</v>
      </c>
    </row>
    <row r="15" spans="3:3">
      <c r="C15" s="18" t="s">
        <v>116</v>
      </c>
    </row>
    <row r="17" spans="3:4">
      <c r="C17" s="14" t="s">
        <v>117</v>
      </c>
      <c r="D17" s="12" t="s">
        <v>105</v>
      </c>
    </row>
    <row r="18" spans="3:4">
      <c r="C18" s="14" t="s">
        <v>118</v>
      </c>
      <c r="D18" s="12" t="s">
        <v>119</v>
      </c>
    </row>
    <row r="19" spans="3:4">
      <c r="C19" s="14" t="s">
        <v>120</v>
      </c>
      <c r="D19" s="12" t="s">
        <v>121</v>
      </c>
    </row>
    <row r="20" spans="4:4">
      <c r="D20" s="12" t="s">
        <v>122</v>
      </c>
    </row>
    <row r="22" spans="3:3">
      <c r="C22" s="19" t="s">
        <v>123</v>
      </c>
    </row>
    <row r="23" spans="3:3">
      <c r="C23" s="18" t="s">
        <v>124</v>
      </c>
    </row>
    <row r="25" spans="3:3">
      <c r="C25" s="14" t="s">
        <v>125</v>
      </c>
    </row>
    <row r="26" spans="2:4">
      <c r="B26" s="17"/>
      <c r="C26" s="14" t="s">
        <v>118</v>
      </c>
      <c r="D26" s="12" t="s">
        <v>126</v>
      </c>
    </row>
    <row r="27" spans="3:4">
      <c r="C27" s="14" t="s">
        <v>120</v>
      </c>
      <c r="D27" s="12" t="s">
        <v>127</v>
      </c>
    </row>
    <row r="29" spans="3:3">
      <c r="C29" s="19" t="s">
        <v>128</v>
      </c>
    </row>
    <row r="30" spans="3:3">
      <c r="C30" s="18" t="s">
        <v>129</v>
      </c>
    </row>
    <row r="31" spans="4:4">
      <c r="D31" s="12" t="s">
        <v>130</v>
      </c>
    </row>
    <row r="32" spans="3:3">
      <c r="C32" s="14" t="s">
        <v>118</v>
      </c>
    </row>
    <row r="34" spans="3:3">
      <c r="C34" s="19" t="s">
        <v>131</v>
      </c>
    </row>
    <row r="35" spans="3:3">
      <c r="C35" s="18" t="s">
        <v>132</v>
      </c>
    </row>
    <row r="37" spans="3:4">
      <c r="C37" s="14" t="s">
        <v>118</v>
      </c>
      <c r="D37" s="20" t="s">
        <v>133</v>
      </c>
    </row>
    <row r="38" spans="3:4">
      <c r="C38" s="14" t="s">
        <v>134</v>
      </c>
      <c r="D38" s="12" t="s">
        <v>135</v>
      </c>
    </row>
    <row r="41" spans="3:3">
      <c r="C41" s="19" t="s">
        <v>136</v>
      </c>
    </row>
    <row r="43" spans="3:4">
      <c r="C43" s="14" t="s">
        <v>137</v>
      </c>
      <c r="D43" s="12" t="s">
        <v>105</v>
      </c>
    </row>
    <row r="44" spans="3:4">
      <c r="C44" s="14" t="s">
        <v>138</v>
      </c>
      <c r="D44" s="12" t="s">
        <v>139</v>
      </c>
    </row>
    <row r="45" spans="3:4">
      <c r="C45" s="14" t="s">
        <v>140</v>
      </c>
      <c r="D45" s="12" t="s">
        <v>141</v>
      </c>
    </row>
    <row r="46" spans="3:4">
      <c r="C46" s="14" t="s">
        <v>142</v>
      </c>
      <c r="D46" s="14" t="s">
        <v>143</v>
      </c>
    </row>
    <row r="47" spans="4:4">
      <c r="D47" s="14" t="s">
        <v>144</v>
      </c>
    </row>
    <row r="48" spans="3:4">
      <c r="C48" s="14" t="s">
        <v>145</v>
      </c>
      <c r="D48" s="12" t="s">
        <v>146</v>
      </c>
    </row>
    <row r="49" spans="3:4">
      <c r="C49" s="14" t="s">
        <v>147</v>
      </c>
      <c r="D49" s="20" t="s">
        <v>148</v>
      </c>
    </row>
    <row r="50" spans="3:4">
      <c r="C50" s="14" t="s">
        <v>149</v>
      </c>
      <c r="D50" s="12" t="s">
        <v>150</v>
      </c>
    </row>
    <row r="52" spans="2:2">
      <c r="B52" s="15" t="s">
        <v>151</v>
      </c>
    </row>
    <row r="54" spans="2:2">
      <c r="B54" s="18" t="s">
        <v>152</v>
      </c>
    </row>
    <row r="55" spans="3:3">
      <c r="C55" s="19" t="s">
        <v>153</v>
      </c>
    </row>
    <row r="56" spans="3:4">
      <c r="C56" s="14" t="s">
        <v>154</v>
      </c>
      <c r="D56" s="20" t="s">
        <v>155</v>
      </c>
    </row>
    <row r="57" spans="3:4">
      <c r="C57" s="14" t="s">
        <v>156</v>
      </c>
      <c r="D57" s="12" t="s">
        <v>157</v>
      </c>
    </row>
    <row r="58" spans="3:4">
      <c r="C58" s="14" t="s">
        <v>158</v>
      </c>
      <c r="D58" s="12" t="s">
        <v>159</v>
      </c>
    </row>
    <row r="59" spans="2:2">
      <c r="B59" s="17"/>
    </row>
    <row r="60" spans="3:3">
      <c r="C60" s="19" t="s">
        <v>160</v>
      </c>
    </row>
    <row r="61" spans="2:4">
      <c r="B61" s="14"/>
      <c r="C61" s="14" t="s">
        <v>161</v>
      </c>
      <c r="D61" s="14" t="s">
        <v>162</v>
      </c>
    </row>
    <row r="62" spans="3:4">
      <c r="C62" s="23" t="s">
        <v>163</v>
      </c>
      <c r="D62" s="23" t="s">
        <v>164</v>
      </c>
    </row>
    <row r="63" s="14" customFormat="1" spans="1:4">
      <c r="A63" s="10"/>
      <c r="B63" s="11"/>
      <c r="C63" s="14"/>
      <c r="D63" s="20"/>
    </row>
    <row r="64" spans="3:3">
      <c r="C64" s="25" t="s">
        <v>165</v>
      </c>
    </row>
    <row r="65" spans="3:4">
      <c r="C65" s="14" t="s">
        <v>166</v>
      </c>
      <c r="D65" s="12" t="s">
        <v>167</v>
      </c>
    </row>
    <row r="66" spans="3:4">
      <c r="C66" s="14" t="s">
        <v>168</v>
      </c>
      <c r="D66" s="12" t="s">
        <v>169</v>
      </c>
    </row>
    <row r="67" spans="3:4">
      <c r="C67" s="14" t="s">
        <v>170</v>
      </c>
      <c r="D67" s="12" t="s">
        <v>171</v>
      </c>
    </row>
    <row r="68" spans="4:4">
      <c r="D68" s="12" t="s">
        <v>172</v>
      </c>
    </row>
    <row r="69" spans="4:4">
      <c r="D69" s="12" t="s">
        <v>173</v>
      </c>
    </row>
    <row r="71" spans="3:3">
      <c r="C71" s="19" t="s">
        <v>174</v>
      </c>
    </row>
    <row r="72" spans="3:4">
      <c r="C72" s="14" t="s">
        <v>168</v>
      </c>
      <c r="D72" s="12" t="s">
        <v>175</v>
      </c>
    </row>
    <row r="73" spans="3:4">
      <c r="C73" s="14" t="s">
        <v>176</v>
      </c>
      <c r="D73" s="12" t="s">
        <v>177</v>
      </c>
    </row>
    <row r="74" spans="4:4">
      <c r="D74" s="12" t="s">
        <v>178</v>
      </c>
    </row>
    <row r="75" spans="4:4">
      <c r="D75" s="12" t="s">
        <v>179</v>
      </c>
    </row>
    <row r="85" spans="2:2">
      <c r="B85" s="17"/>
    </row>
    <row r="89" spans="2:2">
      <c r="B89" s="17"/>
    </row>
    <row r="96" spans="2:2">
      <c r="B96" s="17"/>
    </row>
    <row r="109" spans="5:5">
      <c r="E109" s="12"/>
    </row>
    <row r="110" spans="5:5">
      <c r="E110" s="1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8"/>
  <sheetViews>
    <sheetView zoomScale="70" zoomScaleNormal="70" workbookViewId="0">
      <pane xSplit="1" ySplit="1" topLeftCell="B44" activePane="bottomRight" state="frozen"/>
      <selection/>
      <selection pane="topRight"/>
      <selection pane="bottomLeft"/>
      <selection pane="bottomRight" activeCell="C32" sqref="C32"/>
    </sheetView>
  </sheetViews>
  <sheetFormatPr defaultColWidth="9" defaultRowHeight="16.5" outlineLevelCol="4"/>
  <cols>
    <col min="1" max="1" width="15" style="10" customWidth="1"/>
    <col min="2" max="2" width="19" style="11" customWidth="1"/>
    <col min="3" max="3" width="39.75" style="14" customWidth="1"/>
    <col min="4" max="4" width="120.5" style="12" customWidth="1"/>
    <col min="5" max="16384" width="9" style="11"/>
  </cols>
  <sheetData>
    <row r="1" spans="1:2">
      <c r="A1" s="10" t="s">
        <v>0</v>
      </c>
      <c r="B1" s="10" t="s">
        <v>1</v>
      </c>
    </row>
    <row r="3" spans="1:2">
      <c r="A3" s="10" t="s">
        <v>86</v>
      </c>
      <c r="B3" s="15" t="s">
        <v>180</v>
      </c>
    </row>
    <row r="4" spans="2:2">
      <c r="B4" s="14" t="s">
        <v>181</v>
      </c>
    </row>
    <row r="5" spans="3:3">
      <c r="C5" s="14" t="s">
        <v>182</v>
      </c>
    </row>
    <row r="6" spans="3:3">
      <c r="C6" s="14" t="s">
        <v>183</v>
      </c>
    </row>
    <row r="7" spans="3:3">
      <c r="C7" s="14" t="s">
        <v>184</v>
      </c>
    </row>
    <row r="8" spans="3:3">
      <c r="C8" s="14" t="s">
        <v>185</v>
      </c>
    </row>
    <row r="9" spans="3:3">
      <c r="C9" s="14" t="s">
        <v>186</v>
      </c>
    </row>
    <row r="11" ht="18.75" spans="2:2">
      <c r="B11" s="16" t="s">
        <v>187</v>
      </c>
    </row>
    <row r="12" spans="3:3">
      <c r="C12"/>
    </row>
    <row r="13" spans="2:2">
      <c r="B13" s="14" t="s">
        <v>188</v>
      </c>
    </row>
    <row r="14" spans="3:4">
      <c r="C14" t="s">
        <v>189</v>
      </c>
      <c r="D14" s="12" t="s">
        <v>190</v>
      </c>
    </row>
    <row r="15" spans="2:3">
      <c r="B15" s="17" t="s">
        <v>191</v>
      </c>
      <c r="C15" s="18"/>
    </row>
    <row r="16" spans="2:2">
      <c r="B16" s="11" t="s">
        <v>192</v>
      </c>
    </row>
    <row r="17" spans="3:4">
      <c r="C17" s="14" t="s">
        <v>193</v>
      </c>
      <c r="D17" s="12" t="s">
        <v>194</v>
      </c>
    </row>
    <row r="18" spans="2:2">
      <c r="B18" s="11" t="s">
        <v>195</v>
      </c>
    </row>
    <row r="19" spans="3:4">
      <c r="C19" s="14" t="s">
        <v>196</v>
      </c>
      <c r="D19" s="12" t="s">
        <v>197</v>
      </c>
    </row>
    <row r="22" ht="18.75" spans="1:3">
      <c r="A22" s="10" t="s">
        <v>30</v>
      </c>
      <c r="B22" s="16" t="s">
        <v>198</v>
      </c>
      <c r="C22" s="19"/>
    </row>
    <row r="23" spans="3:3">
      <c r="C23" s="18"/>
    </row>
    <row r="24" spans="3:4">
      <c r="C24" s="14" t="s">
        <v>199</v>
      </c>
      <c r="D24" s="12" t="s">
        <v>200</v>
      </c>
    </row>
    <row r="25" spans="2:4">
      <c r="B25" s="17"/>
      <c r="C25" s="14" t="s">
        <v>201</v>
      </c>
      <c r="D25" s="20" t="s">
        <v>202</v>
      </c>
    </row>
    <row r="26" spans="3:4">
      <c r="C26" s="14" t="s">
        <v>203</v>
      </c>
      <c r="D26" s="12" t="s">
        <v>204</v>
      </c>
    </row>
    <row r="27" spans="3:4">
      <c r="C27" s="14" t="s">
        <v>205</v>
      </c>
      <c r="D27" s="12" t="s">
        <v>206</v>
      </c>
    </row>
    <row r="28" spans="3:4">
      <c r="C28" s="14" t="s">
        <v>207</v>
      </c>
      <c r="D28" s="12" t="s">
        <v>208</v>
      </c>
    </row>
    <row r="29" spans="3:4">
      <c r="C29" s="21" t="s">
        <v>209</v>
      </c>
      <c r="D29" s="12" t="s">
        <v>210</v>
      </c>
    </row>
    <row r="30" spans="3:4">
      <c r="C30" s="14" t="s">
        <v>211</v>
      </c>
      <c r="D30" s="12" t="s">
        <v>212</v>
      </c>
    </row>
    <row r="31" spans="3:4">
      <c r="C31" s="14" t="s">
        <v>213</v>
      </c>
      <c r="D31" s="12" t="s">
        <v>214</v>
      </c>
    </row>
    <row r="32" spans="3:4">
      <c r="C32" s="14" t="s">
        <v>215</v>
      </c>
      <c r="D32" s="12" t="s">
        <v>216</v>
      </c>
    </row>
    <row r="33" spans="3:3">
      <c r="C33" s="19"/>
    </row>
    <row r="34" spans="1:3">
      <c r="A34" s="10" t="s">
        <v>30</v>
      </c>
      <c r="B34" s="17" t="s">
        <v>217</v>
      </c>
      <c r="C34" s="18"/>
    </row>
    <row r="35" spans="2:2">
      <c r="B35" s="11" t="s">
        <v>218</v>
      </c>
    </row>
    <row r="36" spans="3:4">
      <c r="C36" s="14" t="s">
        <v>219</v>
      </c>
      <c r="D36" s="20"/>
    </row>
    <row r="37" spans="3:3">
      <c r="C37" s="14" t="s">
        <v>220</v>
      </c>
    </row>
    <row r="38" spans="3:3">
      <c r="C38" s="14" t="s">
        <v>221</v>
      </c>
    </row>
    <row r="39" spans="3:3">
      <c r="C39" s="14" t="s">
        <v>222</v>
      </c>
    </row>
    <row r="40" spans="3:3">
      <c r="C40" s="14" t="s">
        <v>223</v>
      </c>
    </row>
    <row r="41" spans="3:3">
      <c r="C41" s="14" t="s">
        <v>224</v>
      </c>
    </row>
    <row r="43" spans="1:2">
      <c r="A43" s="10" t="s">
        <v>30</v>
      </c>
      <c r="B43" s="15" t="s">
        <v>225</v>
      </c>
    </row>
    <row r="44" spans="3:3">
      <c r="C44"/>
    </row>
    <row r="45" spans="2:4">
      <c r="B45" s="14" t="s">
        <v>226</v>
      </c>
      <c r="D45" s="14"/>
    </row>
    <row r="46" spans="3:3">
      <c r="C46" s="12" t="s">
        <v>227</v>
      </c>
    </row>
    <row r="47" spans="3:3">
      <c r="C47" s="14" t="s">
        <v>228</v>
      </c>
    </row>
    <row r="48" spans="3:4">
      <c r="C48" s="14" t="s">
        <v>229</v>
      </c>
      <c r="D48" s="12" t="s">
        <v>230</v>
      </c>
    </row>
    <row r="49" spans="3:4">
      <c r="C49"/>
      <c r="D49" s="14"/>
    </row>
    <row r="50" spans="2:2">
      <c r="B50" s="14" t="s">
        <v>231</v>
      </c>
    </row>
    <row r="51" spans="3:3">
      <c r="C51" s="14" t="s">
        <v>232</v>
      </c>
    </row>
    <row r="52" spans="3:4">
      <c r="C52" s="14" t="s">
        <v>233</v>
      </c>
      <c r="D52" s="20" t="s">
        <v>234</v>
      </c>
    </row>
    <row r="53" spans="2:2">
      <c r="B53" s="15"/>
    </row>
    <row r="54" spans="1:2">
      <c r="A54" s="10" t="s">
        <v>30</v>
      </c>
      <c r="B54" s="17" t="s">
        <v>235</v>
      </c>
    </row>
    <row r="55" spans="2:2">
      <c r="B55" s="21" t="s">
        <v>236</v>
      </c>
    </row>
    <row r="56" spans="3:3">
      <c r="C56" s="22" t="s">
        <v>237</v>
      </c>
    </row>
    <row r="57" spans="3:4">
      <c r="C57" s="14" t="s">
        <v>238</v>
      </c>
      <c r="D57" s="20"/>
    </row>
    <row r="58" spans="3:3">
      <c r="C58" s="14" t="s">
        <v>239</v>
      </c>
    </row>
    <row r="59" spans="3:3">
      <c r="C59" s="14" t="s">
        <v>240</v>
      </c>
    </row>
    <row r="60" spans="2:2">
      <c r="B60" s="17"/>
    </row>
    <row r="61" spans="2:3">
      <c r="B61" s="17" t="s">
        <v>241</v>
      </c>
      <c r="C61" s="19"/>
    </row>
    <row r="62" s="14" customFormat="1" spans="2:4">
      <c r="B62" s="11" t="s">
        <v>242</v>
      </c>
      <c r="C62" s="23"/>
      <c r="D62" s="11"/>
    </row>
    <row r="63" s="14" customFormat="1" spans="2:3">
      <c r="B63" s="14" t="s">
        <v>243</v>
      </c>
      <c r="C63" s="23"/>
    </row>
    <row r="64" spans="2:2">
      <c r="B64" s="11" t="s">
        <v>244</v>
      </c>
    </row>
    <row r="65" spans="3:4">
      <c r="C65" s="14" t="s">
        <v>245</v>
      </c>
      <c r="D65" s="14" t="s">
        <v>246</v>
      </c>
    </row>
    <row r="66" spans="3:4">
      <c r="C66" s="14" t="s">
        <v>247</v>
      </c>
      <c r="D66" s="12" t="s">
        <v>248</v>
      </c>
    </row>
    <row r="67" spans="4:4">
      <c r="D67" s="12" t="s">
        <v>249</v>
      </c>
    </row>
    <row r="68" spans="3:4">
      <c r="C68" s="14" t="s">
        <v>250</v>
      </c>
      <c r="D68" s="12" t="s">
        <v>251</v>
      </c>
    </row>
    <row r="70" spans="2:3">
      <c r="B70" s="17" t="s">
        <v>252</v>
      </c>
      <c r="C70" s="19"/>
    </row>
    <row r="71" spans="2:2">
      <c r="B71" s="11" t="s">
        <v>253</v>
      </c>
    </row>
    <row r="72" spans="2:2">
      <c r="B72" s="11" t="s">
        <v>254</v>
      </c>
    </row>
    <row r="74" spans="3:3">
      <c r="C74" s="14" t="s">
        <v>255</v>
      </c>
    </row>
    <row r="75" spans="3:4">
      <c r="C75" s="14" t="s">
        <v>256</v>
      </c>
      <c r="D75" s="12" t="s">
        <v>257</v>
      </c>
    </row>
    <row r="76" spans="3:4">
      <c r="C76" s="14" t="s">
        <v>258</v>
      </c>
      <c r="D76" s="14" t="s">
        <v>259</v>
      </c>
    </row>
    <row r="77" spans="3:4">
      <c r="C77" s="14" t="s">
        <v>260</v>
      </c>
      <c r="D77" s="14" t="s">
        <v>261</v>
      </c>
    </row>
    <row r="78" spans="3:4">
      <c r="C78" s="14" t="s">
        <v>262</v>
      </c>
      <c r="D78" s="12" t="s">
        <v>263</v>
      </c>
    </row>
    <row r="80" spans="2:2">
      <c r="B80" s="17" t="s">
        <v>264</v>
      </c>
    </row>
    <row r="81" spans="2:2">
      <c r="B81" s="11" t="s">
        <v>265</v>
      </c>
    </row>
    <row r="82" spans="2:2">
      <c r="B82" s="11" t="s">
        <v>266</v>
      </c>
    </row>
    <row r="83" spans="2:2">
      <c r="B83" s="11" t="s">
        <v>267</v>
      </c>
    </row>
    <row r="84" spans="3:4">
      <c r="C84" s="14" t="s">
        <v>268</v>
      </c>
      <c r="D84" s="12" t="s">
        <v>269</v>
      </c>
    </row>
    <row r="85" spans="3:4">
      <c r="C85" s="14" t="s">
        <v>270</v>
      </c>
      <c r="D85" s="12" t="s">
        <v>271</v>
      </c>
    </row>
    <row r="86" spans="3:4">
      <c r="C86" s="14" t="s">
        <v>272</v>
      </c>
      <c r="D86" s="12" t="s">
        <v>273</v>
      </c>
    </row>
    <row r="87" spans="2:4">
      <c r="B87" s="17"/>
      <c r="C87" s="14" t="s">
        <v>274</v>
      </c>
      <c r="D87" s="12" t="s">
        <v>275</v>
      </c>
    </row>
    <row r="88" spans="3:4">
      <c r="C88" s="14" t="s">
        <v>276</v>
      </c>
      <c r="D88" s="12" t="s">
        <v>277</v>
      </c>
    </row>
    <row r="94" spans="2:2">
      <c r="B94" s="17"/>
    </row>
    <row r="107" spans="5:5">
      <c r="E107" s="12"/>
    </row>
    <row r="108" spans="5:5">
      <c r="E108" s="12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workbookViewId="0">
      <selection activeCell="A18" sqref="$A18:$XFD34"/>
    </sheetView>
  </sheetViews>
  <sheetFormatPr defaultColWidth="9" defaultRowHeight="16.5"/>
  <cols>
    <col min="1" max="1" width="25.25" style="9" customWidth="1"/>
    <col min="2" max="2" width="25.25" style="10" customWidth="1"/>
    <col min="3" max="3" width="15" style="10" customWidth="1"/>
    <col min="4" max="12" width="9.00833333333333" style="11" customWidth="1"/>
    <col min="13" max="16384" width="9" style="11"/>
  </cols>
  <sheetData>
    <row r="1" spans="1:7">
      <c r="A1" s="10" t="s">
        <v>1</v>
      </c>
      <c r="G1" s="11" t="s">
        <v>278</v>
      </c>
    </row>
    <row r="3" spans="1:14">
      <c r="A3" s="11" t="s">
        <v>279</v>
      </c>
      <c r="B3" s="11"/>
      <c r="C3" s="12"/>
      <c r="G3" s="13"/>
      <c r="H3" s="13" t="s">
        <v>280</v>
      </c>
      <c r="I3" s="13" t="s">
        <v>281</v>
      </c>
      <c r="J3" s="13" t="s">
        <v>282</v>
      </c>
      <c r="K3" s="13" t="s">
        <v>283</v>
      </c>
      <c r="L3" s="13" t="s">
        <v>284</v>
      </c>
      <c r="M3" s="13" t="s">
        <v>285</v>
      </c>
      <c r="N3" s="13" t="s">
        <v>286</v>
      </c>
    </row>
    <row r="4" spans="1:14">
      <c r="A4" s="11"/>
      <c r="B4" s="11" t="s">
        <v>287</v>
      </c>
      <c r="C4" s="12" t="s">
        <v>288</v>
      </c>
      <c r="G4" s="13" t="s">
        <v>289</v>
      </c>
      <c r="H4" s="13"/>
      <c r="I4" s="13"/>
      <c r="J4" s="13"/>
      <c r="K4" s="13"/>
      <c r="L4" s="13"/>
      <c r="M4" s="13"/>
      <c r="N4" s="13"/>
    </row>
    <row r="5" spans="1:14">
      <c r="A5" s="11"/>
      <c r="B5" s="11" t="s">
        <v>290</v>
      </c>
      <c r="C5" s="12" t="s">
        <v>291</v>
      </c>
      <c r="G5" s="13" t="s">
        <v>292</v>
      </c>
      <c r="H5" s="13"/>
      <c r="I5" s="13"/>
      <c r="J5" s="13"/>
      <c r="K5" s="13"/>
      <c r="L5" s="13"/>
      <c r="M5" s="13"/>
      <c r="N5" s="13"/>
    </row>
    <row r="6" spans="1:14">
      <c r="A6" s="11"/>
      <c r="B6" s="11" t="s">
        <v>293</v>
      </c>
      <c r="C6" s="12" t="s">
        <v>294</v>
      </c>
      <c r="G6" s="13" t="s">
        <v>295</v>
      </c>
      <c r="H6" s="13"/>
      <c r="I6" s="13"/>
      <c r="J6" s="13"/>
      <c r="K6" s="13"/>
      <c r="L6" s="13"/>
      <c r="M6" s="13"/>
      <c r="N6" s="13"/>
    </row>
    <row r="7" spans="7:14">
      <c r="G7" s="13" t="s">
        <v>296</v>
      </c>
      <c r="H7" s="13"/>
      <c r="I7" s="13"/>
      <c r="J7" s="13"/>
      <c r="K7" s="13"/>
      <c r="L7" s="13"/>
      <c r="M7" s="13"/>
      <c r="N7" s="13"/>
    </row>
    <row r="8" spans="7:14">
      <c r="G8" s="13" t="s">
        <v>297</v>
      </c>
      <c r="H8" s="13"/>
      <c r="I8" s="13"/>
      <c r="J8" s="13"/>
      <c r="K8" s="13"/>
      <c r="L8" s="13"/>
      <c r="M8" s="13"/>
      <c r="N8" s="13"/>
    </row>
    <row r="9" spans="7:14">
      <c r="G9" s="13" t="s">
        <v>298</v>
      </c>
      <c r="H9" s="13"/>
      <c r="I9" s="13"/>
      <c r="J9" s="13"/>
      <c r="K9" s="13"/>
      <c r="L9" s="13"/>
      <c r="M9" s="13"/>
      <c r="N9" s="13"/>
    </row>
    <row r="10" spans="7:14">
      <c r="G10" s="13" t="s">
        <v>299</v>
      </c>
      <c r="H10" s="13"/>
      <c r="I10" s="13"/>
      <c r="J10" s="13"/>
      <c r="K10" s="13"/>
      <c r="L10" s="13"/>
      <c r="M10" s="13"/>
      <c r="N10" s="13"/>
    </row>
    <row r="11" spans="7:14">
      <c r="G11" s="13" t="s">
        <v>300</v>
      </c>
      <c r="H11" s="13"/>
      <c r="I11" s="13"/>
      <c r="J11" s="13"/>
      <c r="K11" s="13"/>
      <c r="L11" s="13"/>
      <c r="M11" s="13"/>
      <c r="N11" s="13"/>
    </row>
    <row r="12" spans="7:14">
      <c r="G12" s="13" t="s">
        <v>301</v>
      </c>
      <c r="H12" s="13"/>
      <c r="I12" s="13"/>
      <c r="J12" s="13"/>
      <c r="K12" s="13"/>
      <c r="L12" s="13"/>
      <c r="M12" s="13"/>
      <c r="N12" s="13"/>
    </row>
    <row r="13" spans="7:14">
      <c r="G13" s="13" t="s">
        <v>302</v>
      </c>
      <c r="H13" s="13"/>
      <c r="I13" s="13"/>
      <c r="J13" s="13"/>
      <c r="K13" s="13"/>
      <c r="L13" s="13"/>
      <c r="M13" s="13"/>
      <c r="N13" s="13"/>
    </row>
    <row r="35" ht="13.5"/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2"/>
  <sheetViews>
    <sheetView workbookViewId="0">
      <selection activeCell="H13" sqref="H13"/>
    </sheetView>
  </sheetViews>
  <sheetFormatPr defaultColWidth="9" defaultRowHeight="13.5"/>
  <cols>
    <col min="9" max="16" width="15.625" customWidth="1"/>
  </cols>
  <sheetData>
    <row r="1" spans="1:3">
      <c r="A1" s="1" t="s">
        <v>303</v>
      </c>
      <c r="B1" s="1" t="s">
        <v>304</v>
      </c>
      <c r="C1" s="1" t="s">
        <v>305</v>
      </c>
    </row>
    <row r="2" spans="1:3">
      <c r="A2">
        <v>-40</v>
      </c>
      <c r="B2">
        <v>45303</v>
      </c>
      <c r="C2">
        <f t="shared" ref="C2:C65" si="0">100*B2/(B2+2000)</f>
        <v>95.7719383548612</v>
      </c>
    </row>
    <row r="3" spans="1:3">
      <c r="A3">
        <v>-39</v>
      </c>
      <c r="B3"/>
      <c r="C3">
        <f t="shared" si="0"/>
        <v>0</v>
      </c>
    </row>
    <row r="4" spans="1:3">
      <c r="A4">
        <v>-38</v>
      </c>
      <c r="B4"/>
      <c r="C4">
        <f t="shared" si="0"/>
        <v>0</v>
      </c>
    </row>
    <row r="5" spans="1:14">
      <c r="A5">
        <v>-37</v>
      </c>
      <c r="B5"/>
      <c r="C5">
        <f t="shared" si="0"/>
        <v>0</v>
      </c>
      <c r="J5" s="2" t="s">
        <v>306</v>
      </c>
      <c r="K5" s="2" t="s">
        <v>307</v>
      </c>
      <c r="L5" s="2" t="s">
        <v>308</v>
      </c>
      <c r="M5" s="3" t="s">
        <v>309</v>
      </c>
      <c r="N5" s="3" t="s">
        <v>310</v>
      </c>
    </row>
    <row r="6" spans="1:14">
      <c r="A6">
        <v>-36</v>
      </c>
      <c r="B6"/>
      <c r="C6">
        <f t="shared" si="0"/>
        <v>0</v>
      </c>
      <c r="J6" s="2">
        <v>0.5</v>
      </c>
      <c r="K6" s="4">
        <f>J6/5</f>
        <v>0.1</v>
      </c>
      <c r="L6" s="4">
        <v>0.1</v>
      </c>
      <c r="M6" s="5">
        <f>(L7-L6)/(K7-K6)</f>
        <v>1.1875</v>
      </c>
      <c r="N6" s="6">
        <f>K6-L6/M6</f>
        <v>0.0157894736842105</v>
      </c>
    </row>
    <row r="7" spans="1:14">
      <c r="A7">
        <v>-35</v>
      </c>
      <c r="B7">
        <v>34273</v>
      </c>
      <c r="C7">
        <f t="shared" si="0"/>
        <v>94.4862569955614</v>
      </c>
      <c r="J7" s="2">
        <v>4.5</v>
      </c>
      <c r="K7" s="4">
        <f>J7/5</f>
        <v>0.9</v>
      </c>
      <c r="L7" s="4">
        <v>1.05</v>
      </c>
      <c r="M7" s="2"/>
      <c r="N7" s="4"/>
    </row>
    <row r="8" spans="1:14">
      <c r="A8">
        <v>-34</v>
      </c>
      <c r="B8"/>
      <c r="C8">
        <f t="shared" si="0"/>
        <v>0</v>
      </c>
      <c r="J8" s="2"/>
      <c r="K8" s="2"/>
      <c r="L8" s="2"/>
      <c r="M8" s="2"/>
      <c r="N8" s="2"/>
    </row>
    <row r="9" spans="1:14">
      <c r="A9">
        <v>-33</v>
      </c>
      <c r="B9"/>
      <c r="C9">
        <f t="shared" si="0"/>
        <v>0</v>
      </c>
      <c r="J9" s="2"/>
      <c r="K9" s="2"/>
      <c r="L9" s="2"/>
      <c r="M9" s="2"/>
      <c r="N9" s="2"/>
    </row>
    <row r="10" spans="1:14">
      <c r="A10">
        <v>-32</v>
      </c>
      <c r="B10"/>
      <c r="C10">
        <f t="shared" si="0"/>
        <v>0</v>
      </c>
      <c r="J10" s="2"/>
      <c r="K10" s="2"/>
      <c r="L10" s="2"/>
      <c r="M10" s="2"/>
      <c r="N10" s="2"/>
    </row>
    <row r="11" spans="1:14">
      <c r="A11">
        <v>-31</v>
      </c>
      <c r="B11"/>
      <c r="C11">
        <f t="shared" si="0"/>
        <v>0</v>
      </c>
      <c r="J11" s="2"/>
      <c r="K11" s="2"/>
      <c r="L11" s="2"/>
      <c r="M11" s="2"/>
      <c r="N11" s="2"/>
    </row>
    <row r="12" spans="1:14">
      <c r="A12">
        <v>-30</v>
      </c>
      <c r="B12">
        <v>26108</v>
      </c>
      <c r="C12">
        <f t="shared" si="0"/>
        <v>92.8845880176462</v>
      </c>
      <c r="J12" s="2"/>
      <c r="K12" s="2"/>
      <c r="L12" s="2"/>
      <c r="M12" s="2"/>
      <c r="N12" s="2"/>
    </row>
    <row r="13" spans="1:14">
      <c r="A13">
        <v>-29</v>
      </c>
      <c r="B13"/>
      <c r="C13">
        <f t="shared" si="0"/>
        <v>0</v>
      </c>
      <c r="J13" s="2"/>
      <c r="K13" s="2"/>
      <c r="L13" s="2"/>
      <c r="M13" s="2"/>
      <c r="N13" s="2"/>
    </row>
    <row r="14" spans="1:14">
      <c r="A14">
        <v>-28</v>
      </c>
      <c r="B14"/>
      <c r="C14">
        <f t="shared" si="0"/>
        <v>0</v>
      </c>
      <c r="J14" s="2"/>
      <c r="K14" s="2"/>
      <c r="L14" s="2"/>
      <c r="M14" s="2"/>
      <c r="N14" s="2"/>
    </row>
    <row r="15" spans="1:14">
      <c r="A15">
        <v>-27</v>
      </c>
      <c r="B15"/>
      <c r="C15">
        <f t="shared" si="0"/>
        <v>0</v>
      </c>
      <c r="J15" s="2"/>
      <c r="K15" s="2"/>
      <c r="L15" s="2"/>
      <c r="M15" s="2"/>
      <c r="N15" s="2"/>
    </row>
    <row r="16" spans="1:14">
      <c r="A16">
        <v>-26</v>
      </c>
      <c r="B16"/>
      <c r="C16">
        <f t="shared" si="0"/>
        <v>0</v>
      </c>
      <c r="J16" s="2"/>
      <c r="K16" s="2"/>
      <c r="L16" s="2"/>
      <c r="M16" s="2"/>
      <c r="N16" s="2"/>
    </row>
    <row r="17" spans="1:14">
      <c r="A17">
        <v>-25</v>
      </c>
      <c r="B17">
        <v>19999</v>
      </c>
      <c r="C17">
        <f t="shared" si="0"/>
        <v>90.9086776671667</v>
      </c>
      <c r="J17" s="2" t="s">
        <v>311</v>
      </c>
      <c r="K17" s="2" t="s">
        <v>307</v>
      </c>
      <c r="L17" s="2" t="s">
        <v>312</v>
      </c>
      <c r="M17" s="3" t="s">
        <v>309</v>
      </c>
      <c r="N17" s="3" t="s">
        <v>310</v>
      </c>
    </row>
    <row r="18" spans="1:14">
      <c r="A18">
        <v>-24</v>
      </c>
      <c r="B18"/>
      <c r="C18">
        <f t="shared" si="0"/>
        <v>0</v>
      </c>
      <c r="J18" s="2">
        <v>0.4</v>
      </c>
      <c r="K18" s="4">
        <f>J18/5</f>
        <v>0.08</v>
      </c>
      <c r="L18" s="2">
        <v>10</v>
      </c>
      <c r="M18" s="7">
        <f>(L19-L18)/(K19-K18)</f>
        <v>282.352941176471</v>
      </c>
      <c r="N18" s="8">
        <f>L18-K18*M18</f>
        <v>-12.5882352941176</v>
      </c>
    </row>
    <row r="19" spans="1:14">
      <c r="A19">
        <v>-23</v>
      </c>
      <c r="B19"/>
      <c r="C19">
        <f t="shared" si="0"/>
        <v>0</v>
      </c>
      <c r="J19" s="2">
        <v>4.65</v>
      </c>
      <c r="K19" s="4">
        <f>J19/5</f>
        <v>0.93</v>
      </c>
      <c r="L19" s="2">
        <v>250</v>
      </c>
      <c r="M19" s="2"/>
      <c r="N19" s="2"/>
    </row>
    <row r="20" ht="16.5" spans="1:14">
      <c r="A20">
        <v>-22</v>
      </c>
      <c r="B20"/>
      <c r="C20">
        <f t="shared" si="0"/>
        <v>0</v>
      </c>
      <c r="J20" s="9"/>
      <c r="K20" s="10"/>
      <c r="L20" s="10"/>
      <c r="M20" s="11"/>
      <c r="N20" s="11"/>
    </row>
    <row r="21" spans="1:3">
      <c r="A21">
        <v>-21</v>
      </c>
      <c r="B21"/>
      <c r="C21">
        <f t="shared" si="0"/>
        <v>0</v>
      </c>
    </row>
    <row r="22" spans="1:3">
      <c r="A22">
        <v>-20</v>
      </c>
      <c r="B22">
        <v>15458</v>
      </c>
      <c r="C22">
        <f t="shared" si="0"/>
        <v>88.5439340130599</v>
      </c>
    </row>
    <row r="23" spans="1:3">
      <c r="A23">
        <v>-19</v>
      </c>
      <c r="B23"/>
      <c r="C23">
        <f t="shared" si="0"/>
        <v>0</v>
      </c>
    </row>
    <row r="24" spans="1:3">
      <c r="A24">
        <v>-18</v>
      </c>
      <c r="B24"/>
      <c r="C24">
        <f t="shared" si="0"/>
        <v>0</v>
      </c>
    </row>
    <row r="25" spans="1:3">
      <c r="A25">
        <v>-17</v>
      </c>
      <c r="B25"/>
      <c r="C25">
        <f t="shared" si="0"/>
        <v>0</v>
      </c>
    </row>
    <row r="26" spans="1:3">
      <c r="A26">
        <v>-16</v>
      </c>
      <c r="B26"/>
      <c r="C26">
        <f t="shared" si="0"/>
        <v>0</v>
      </c>
    </row>
    <row r="27" spans="1:3">
      <c r="A27">
        <v>-15</v>
      </c>
      <c r="B27">
        <v>12000</v>
      </c>
      <c r="C27">
        <f t="shared" si="0"/>
        <v>85.7142857142857</v>
      </c>
    </row>
    <row r="28" spans="1:3">
      <c r="A28">
        <v>-14</v>
      </c>
      <c r="B28"/>
      <c r="C28">
        <f t="shared" si="0"/>
        <v>0</v>
      </c>
    </row>
    <row r="29" spans="1:3">
      <c r="A29">
        <v>-13</v>
      </c>
      <c r="B29"/>
      <c r="C29">
        <f t="shared" si="0"/>
        <v>0</v>
      </c>
    </row>
    <row r="30" spans="1:3">
      <c r="A30">
        <v>-12</v>
      </c>
      <c r="B30"/>
      <c r="C30">
        <f t="shared" si="0"/>
        <v>0</v>
      </c>
    </row>
    <row r="31" spans="1:3">
      <c r="A31">
        <v>-11</v>
      </c>
      <c r="B31"/>
      <c r="C31">
        <f t="shared" si="0"/>
        <v>0</v>
      </c>
    </row>
    <row r="32" spans="1:3">
      <c r="A32">
        <v>-10</v>
      </c>
      <c r="B32">
        <v>9395</v>
      </c>
      <c r="C32">
        <f t="shared" si="0"/>
        <v>82.4484422992541</v>
      </c>
    </row>
    <row r="33" spans="1:3">
      <c r="A33">
        <v>-9</v>
      </c>
      <c r="B33"/>
      <c r="C33">
        <f t="shared" si="0"/>
        <v>0</v>
      </c>
    </row>
    <row r="34" spans="1:3">
      <c r="A34">
        <v>-8</v>
      </c>
      <c r="B34"/>
      <c r="C34">
        <f t="shared" si="0"/>
        <v>0</v>
      </c>
    </row>
    <row r="35" spans="1:3">
      <c r="A35">
        <v>-7</v>
      </c>
      <c r="B35"/>
      <c r="C35">
        <f t="shared" si="0"/>
        <v>0</v>
      </c>
    </row>
    <row r="36" spans="1:3">
      <c r="A36">
        <v>-6</v>
      </c>
      <c r="B36"/>
      <c r="C36">
        <f t="shared" si="0"/>
        <v>0</v>
      </c>
    </row>
    <row r="37" spans="1:3">
      <c r="A37">
        <v>-5</v>
      </c>
      <c r="B37">
        <v>7413</v>
      </c>
      <c r="C37">
        <f t="shared" si="0"/>
        <v>78.7527886964836</v>
      </c>
    </row>
    <row r="38" spans="1:3">
      <c r="A38">
        <v>-4</v>
      </c>
      <c r="B38"/>
      <c r="C38">
        <f t="shared" si="0"/>
        <v>0</v>
      </c>
    </row>
    <row r="39" spans="1:3">
      <c r="A39">
        <v>-3</v>
      </c>
      <c r="B39"/>
      <c r="C39">
        <f t="shared" si="0"/>
        <v>0</v>
      </c>
    </row>
    <row r="40" spans="1:3">
      <c r="A40">
        <v>-2</v>
      </c>
      <c r="B40"/>
      <c r="C40">
        <f t="shared" si="0"/>
        <v>0</v>
      </c>
    </row>
    <row r="41" spans="1:3">
      <c r="A41">
        <v>-1</v>
      </c>
      <c r="B41"/>
      <c r="C41">
        <f t="shared" si="0"/>
        <v>0</v>
      </c>
    </row>
    <row r="42" spans="1:3">
      <c r="A42">
        <v>0</v>
      </c>
      <c r="B42">
        <v>5895</v>
      </c>
      <c r="C42">
        <f t="shared" si="0"/>
        <v>74.6675110829639</v>
      </c>
    </row>
    <row r="43" spans="1:3">
      <c r="A43">
        <v>1</v>
      </c>
      <c r="B43"/>
      <c r="C43">
        <f t="shared" si="0"/>
        <v>0</v>
      </c>
    </row>
    <row r="44" spans="1:3">
      <c r="A44">
        <v>2</v>
      </c>
      <c r="B44"/>
      <c r="C44">
        <f t="shared" si="0"/>
        <v>0</v>
      </c>
    </row>
    <row r="45" spans="1:3">
      <c r="A45">
        <v>3</v>
      </c>
      <c r="B45"/>
      <c r="C45">
        <f t="shared" si="0"/>
        <v>0</v>
      </c>
    </row>
    <row r="46" spans="1:3">
      <c r="A46">
        <v>4</v>
      </c>
      <c r="B46"/>
      <c r="C46">
        <f t="shared" si="0"/>
        <v>0</v>
      </c>
    </row>
    <row r="47" spans="1:3">
      <c r="A47">
        <v>5</v>
      </c>
      <c r="B47">
        <v>4711</v>
      </c>
      <c r="C47">
        <f t="shared" si="0"/>
        <v>70.1981820891074</v>
      </c>
    </row>
    <row r="48" spans="1:3">
      <c r="A48">
        <v>6</v>
      </c>
      <c r="B48"/>
      <c r="C48">
        <f t="shared" si="0"/>
        <v>0</v>
      </c>
    </row>
    <row r="49" spans="1:3">
      <c r="A49">
        <v>7</v>
      </c>
      <c r="B49"/>
      <c r="C49">
        <f t="shared" si="0"/>
        <v>0</v>
      </c>
    </row>
    <row r="50" spans="1:3">
      <c r="A50">
        <v>8</v>
      </c>
      <c r="B50"/>
      <c r="C50">
        <f t="shared" si="0"/>
        <v>0</v>
      </c>
    </row>
    <row r="51" spans="1:3">
      <c r="A51">
        <v>9</v>
      </c>
      <c r="B51"/>
      <c r="C51">
        <f t="shared" si="0"/>
        <v>0</v>
      </c>
    </row>
    <row r="52" spans="1:3">
      <c r="A52">
        <v>10</v>
      </c>
      <c r="B52">
        <v>3791</v>
      </c>
      <c r="C52">
        <f t="shared" si="0"/>
        <v>65.463650492143</v>
      </c>
    </row>
    <row r="53" spans="1:3">
      <c r="A53">
        <v>11</v>
      </c>
      <c r="B53"/>
      <c r="C53">
        <f t="shared" si="0"/>
        <v>0</v>
      </c>
    </row>
    <row r="54" spans="1:3">
      <c r="A54">
        <v>12</v>
      </c>
      <c r="B54"/>
      <c r="C54">
        <f t="shared" si="0"/>
        <v>0</v>
      </c>
    </row>
    <row r="55" spans="1:3">
      <c r="A55">
        <v>13</v>
      </c>
      <c r="B55"/>
      <c r="C55">
        <f t="shared" si="0"/>
        <v>0</v>
      </c>
    </row>
    <row r="56" spans="1:3">
      <c r="A56">
        <v>14</v>
      </c>
      <c r="B56"/>
      <c r="C56">
        <f t="shared" si="0"/>
        <v>0</v>
      </c>
    </row>
    <row r="57" spans="1:3">
      <c r="A57">
        <v>15</v>
      </c>
      <c r="B57">
        <v>3068</v>
      </c>
      <c r="C57">
        <f t="shared" si="0"/>
        <v>60.5367008681926</v>
      </c>
    </row>
    <row r="58" spans="1:3">
      <c r="A58">
        <v>16</v>
      </c>
      <c r="B58"/>
      <c r="C58">
        <f t="shared" si="0"/>
        <v>0</v>
      </c>
    </row>
    <row r="59" spans="1:3">
      <c r="A59">
        <v>17</v>
      </c>
      <c r="B59"/>
      <c r="C59">
        <f t="shared" si="0"/>
        <v>0</v>
      </c>
    </row>
    <row r="60" spans="1:3">
      <c r="A60">
        <v>18</v>
      </c>
      <c r="B60"/>
      <c r="C60">
        <f t="shared" si="0"/>
        <v>0</v>
      </c>
    </row>
    <row r="61" spans="1:3">
      <c r="A61">
        <v>19</v>
      </c>
      <c r="B61"/>
      <c r="C61">
        <f t="shared" si="0"/>
        <v>0</v>
      </c>
    </row>
    <row r="62" spans="1:3">
      <c r="A62">
        <v>20</v>
      </c>
      <c r="B62">
        <v>2499</v>
      </c>
      <c r="C62">
        <f t="shared" si="0"/>
        <v>55.5456768170705</v>
      </c>
    </row>
    <row r="63" spans="1:3">
      <c r="A63">
        <v>21</v>
      </c>
      <c r="B63"/>
      <c r="C63">
        <f t="shared" si="0"/>
        <v>0</v>
      </c>
    </row>
    <row r="64" spans="1:3">
      <c r="A64">
        <v>22</v>
      </c>
      <c r="B64"/>
      <c r="C64">
        <f t="shared" si="0"/>
        <v>0</v>
      </c>
    </row>
    <row r="65" spans="1:3">
      <c r="A65">
        <v>23</v>
      </c>
      <c r="B65"/>
      <c r="C65">
        <f t="shared" si="0"/>
        <v>0</v>
      </c>
    </row>
    <row r="66" spans="1:3">
      <c r="A66">
        <v>24</v>
      </c>
      <c r="B66"/>
      <c r="C66">
        <f t="shared" ref="C66:C129" si="1">100*B66/(B66+2000)</f>
        <v>0</v>
      </c>
    </row>
    <row r="67" spans="1:3">
      <c r="A67">
        <v>25</v>
      </c>
      <c r="B67">
        <v>2056</v>
      </c>
      <c r="C67">
        <f t="shared" si="1"/>
        <v>50.6903353057199</v>
      </c>
    </row>
    <row r="68" spans="1:3">
      <c r="A68">
        <v>26</v>
      </c>
      <c r="B68"/>
      <c r="C68">
        <f t="shared" si="1"/>
        <v>0</v>
      </c>
    </row>
    <row r="69" spans="1:3">
      <c r="A69">
        <v>27</v>
      </c>
      <c r="B69"/>
      <c r="C69">
        <f t="shared" si="1"/>
        <v>0</v>
      </c>
    </row>
    <row r="70" spans="1:3">
      <c r="A70">
        <v>28</v>
      </c>
      <c r="B70"/>
      <c r="C70">
        <f t="shared" si="1"/>
        <v>0</v>
      </c>
    </row>
    <row r="71" spans="1:3">
      <c r="A71">
        <v>29</v>
      </c>
      <c r="B71"/>
      <c r="C71">
        <f t="shared" si="1"/>
        <v>0</v>
      </c>
    </row>
    <row r="72" spans="1:3">
      <c r="A72">
        <v>30</v>
      </c>
      <c r="B72">
        <v>1706</v>
      </c>
      <c r="C72">
        <f t="shared" si="1"/>
        <v>46.0334592552617</v>
      </c>
    </row>
    <row r="73" spans="1:3">
      <c r="A73">
        <v>31</v>
      </c>
      <c r="B73"/>
      <c r="C73">
        <f t="shared" si="1"/>
        <v>0</v>
      </c>
    </row>
    <row r="74" spans="1:3">
      <c r="A74">
        <v>32</v>
      </c>
      <c r="B74"/>
      <c r="C74">
        <f t="shared" si="1"/>
        <v>0</v>
      </c>
    </row>
    <row r="75" spans="1:3">
      <c r="A75">
        <v>33</v>
      </c>
      <c r="B75"/>
      <c r="C75">
        <f t="shared" si="1"/>
        <v>0</v>
      </c>
    </row>
    <row r="76" spans="1:3">
      <c r="A76">
        <v>34</v>
      </c>
      <c r="B76"/>
      <c r="C76">
        <f t="shared" si="1"/>
        <v>0</v>
      </c>
    </row>
    <row r="77" spans="1:3">
      <c r="A77">
        <v>35</v>
      </c>
      <c r="B77">
        <v>1411</v>
      </c>
      <c r="C77">
        <f t="shared" si="1"/>
        <v>41.366168279097</v>
      </c>
    </row>
    <row r="78" spans="1:3">
      <c r="A78">
        <v>36</v>
      </c>
      <c r="B78"/>
      <c r="C78">
        <f t="shared" si="1"/>
        <v>0</v>
      </c>
    </row>
    <row r="79" spans="1:3">
      <c r="A79">
        <v>37</v>
      </c>
      <c r="B79"/>
      <c r="C79">
        <f t="shared" si="1"/>
        <v>0</v>
      </c>
    </row>
    <row r="80" spans="1:3">
      <c r="A80">
        <v>38</v>
      </c>
      <c r="B80"/>
      <c r="C80">
        <f t="shared" si="1"/>
        <v>0</v>
      </c>
    </row>
    <row r="81" spans="1:3">
      <c r="A81">
        <v>39</v>
      </c>
      <c r="B81"/>
      <c r="C81">
        <f t="shared" si="1"/>
        <v>0</v>
      </c>
    </row>
    <row r="82" spans="1:3">
      <c r="A82">
        <v>40</v>
      </c>
      <c r="B82">
        <v>1174</v>
      </c>
      <c r="C82">
        <f t="shared" si="1"/>
        <v>36.9880277252678</v>
      </c>
    </row>
    <row r="83" spans="1:3">
      <c r="A83">
        <v>41</v>
      </c>
      <c r="B83"/>
      <c r="C83">
        <f t="shared" si="1"/>
        <v>0</v>
      </c>
    </row>
    <row r="84" spans="1:3">
      <c r="A84">
        <v>42</v>
      </c>
      <c r="B84"/>
      <c r="C84">
        <f t="shared" si="1"/>
        <v>0</v>
      </c>
    </row>
    <row r="85" spans="1:3">
      <c r="A85">
        <v>43</v>
      </c>
      <c r="B85"/>
      <c r="C85">
        <f t="shared" si="1"/>
        <v>0</v>
      </c>
    </row>
    <row r="86" spans="1:3">
      <c r="A86">
        <v>44</v>
      </c>
      <c r="B86"/>
      <c r="C86">
        <f t="shared" si="1"/>
        <v>0</v>
      </c>
    </row>
    <row r="87" spans="1:3">
      <c r="A87">
        <v>45</v>
      </c>
      <c r="B87">
        <v>987.4</v>
      </c>
      <c r="C87">
        <f t="shared" si="1"/>
        <v>33.0521523733012</v>
      </c>
    </row>
    <row r="88" spans="1:3">
      <c r="A88">
        <v>46</v>
      </c>
      <c r="B88"/>
      <c r="C88">
        <f t="shared" si="1"/>
        <v>0</v>
      </c>
    </row>
    <row r="89" spans="1:3">
      <c r="A89">
        <v>47</v>
      </c>
      <c r="B89"/>
      <c r="C89">
        <f t="shared" si="1"/>
        <v>0</v>
      </c>
    </row>
    <row r="90" spans="1:3">
      <c r="A90">
        <v>48</v>
      </c>
      <c r="B90"/>
      <c r="C90">
        <f t="shared" si="1"/>
        <v>0</v>
      </c>
    </row>
    <row r="91" spans="1:3">
      <c r="A91">
        <v>49</v>
      </c>
      <c r="B91"/>
      <c r="C91">
        <f t="shared" si="1"/>
        <v>0</v>
      </c>
    </row>
    <row r="92" spans="1:3">
      <c r="A92">
        <v>50</v>
      </c>
      <c r="B92">
        <v>833.8</v>
      </c>
      <c r="C92">
        <f t="shared" si="1"/>
        <v>29.423389088856</v>
      </c>
    </row>
    <row r="93" spans="1:3">
      <c r="A93">
        <v>51</v>
      </c>
      <c r="B93"/>
      <c r="C93">
        <f t="shared" si="1"/>
        <v>0</v>
      </c>
    </row>
    <row r="94" spans="1:3">
      <c r="A94">
        <v>52</v>
      </c>
      <c r="B94"/>
      <c r="C94">
        <f t="shared" si="1"/>
        <v>0</v>
      </c>
    </row>
    <row r="95" spans="1:3">
      <c r="A95">
        <v>53</v>
      </c>
      <c r="B95"/>
      <c r="C95">
        <f t="shared" si="1"/>
        <v>0</v>
      </c>
    </row>
    <row r="96" spans="1:3">
      <c r="A96">
        <v>54</v>
      </c>
      <c r="B96"/>
      <c r="C96">
        <f t="shared" si="1"/>
        <v>0</v>
      </c>
    </row>
    <row r="97" spans="1:3">
      <c r="A97">
        <v>55</v>
      </c>
      <c r="B97">
        <v>702.7</v>
      </c>
      <c r="C97">
        <f t="shared" si="1"/>
        <v>25.999925999926</v>
      </c>
    </row>
    <row r="98" spans="1:3">
      <c r="A98">
        <v>56</v>
      </c>
      <c r="B98"/>
      <c r="C98">
        <f t="shared" si="1"/>
        <v>0</v>
      </c>
    </row>
    <row r="99" spans="1:3">
      <c r="A99">
        <v>57</v>
      </c>
      <c r="B99"/>
      <c r="C99">
        <f t="shared" si="1"/>
        <v>0</v>
      </c>
    </row>
    <row r="100" spans="1:3">
      <c r="A100">
        <v>58</v>
      </c>
      <c r="B100"/>
      <c r="C100">
        <f t="shared" si="1"/>
        <v>0</v>
      </c>
    </row>
    <row r="101" spans="1:3">
      <c r="A101">
        <v>59</v>
      </c>
      <c r="B101"/>
      <c r="C101">
        <f t="shared" si="1"/>
        <v>0</v>
      </c>
    </row>
    <row r="102" spans="1:3">
      <c r="A102">
        <v>60</v>
      </c>
      <c r="B102">
        <v>595.4</v>
      </c>
      <c r="C102">
        <f t="shared" si="1"/>
        <v>22.9405871927256</v>
      </c>
    </row>
    <row r="103" spans="1:3">
      <c r="A103">
        <v>61</v>
      </c>
      <c r="B103"/>
      <c r="C103">
        <f t="shared" si="1"/>
        <v>0</v>
      </c>
    </row>
    <row r="104" spans="1:3">
      <c r="A104">
        <v>62</v>
      </c>
      <c r="B104"/>
      <c r="C104">
        <f t="shared" si="1"/>
        <v>0</v>
      </c>
    </row>
    <row r="105" spans="1:3">
      <c r="A105">
        <v>63</v>
      </c>
      <c r="B105"/>
      <c r="C105">
        <f t="shared" si="1"/>
        <v>0</v>
      </c>
    </row>
    <row r="106" spans="1:3">
      <c r="A106">
        <v>64</v>
      </c>
      <c r="B106"/>
      <c r="C106">
        <f t="shared" si="1"/>
        <v>0</v>
      </c>
    </row>
    <row r="107" spans="1:3">
      <c r="A107">
        <v>65</v>
      </c>
      <c r="B107">
        <v>508.2</v>
      </c>
      <c r="C107">
        <f t="shared" si="1"/>
        <v>20.261542141775</v>
      </c>
    </row>
    <row r="108" spans="1:3">
      <c r="A108">
        <v>66</v>
      </c>
      <c r="B108"/>
      <c r="C108">
        <f t="shared" si="1"/>
        <v>0</v>
      </c>
    </row>
    <row r="109" spans="1:3">
      <c r="A109">
        <v>67</v>
      </c>
      <c r="B109"/>
      <c r="C109">
        <f t="shared" si="1"/>
        <v>0</v>
      </c>
    </row>
    <row r="110" spans="1:3">
      <c r="A110">
        <v>68</v>
      </c>
      <c r="B110"/>
      <c r="C110">
        <f t="shared" si="1"/>
        <v>0</v>
      </c>
    </row>
    <row r="111" spans="1:3">
      <c r="A111">
        <v>69</v>
      </c>
      <c r="B111"/>
      <c r="C111">
        <f t="shared" si="1"/>
        <v>0</v>
      </c>
    </row>
    <row r="112" spans="1:3">
      <c r="A112">
        <v>70</v>
      </c>
      <c r="B112">
        <v>435.6</v>
      </c>
      <c r="C112">
        <f t="shared" si="1"/>
        <v>17.8847101330268</v>
      </c>
    </row>
    <row r="113" spans="1:3">
      <c r="A113">
        <v>71</v>
      </c>
      <c r="B113"/>
      <c r="C113">
        <f t="shared" si="1"/>
        <v>0</v>
      </c>
    </row>
    <row r="114" spans="1:3">
      <c r="A114">
        <v>72</v>
      </c>
      <c r="B114"/>
      <c r="C114">
        <f t="shared" si="1"/>
        <v>0</v>
      </c>
    </row>
    <row r="115" spans="1:3">
      <c r="A115">
        <v>73</v>
      </c>
      <c r="B115"/>
      <c r="C115">
        <f t="shared" si="1"/>
        <v>0</v>
      </c>
    </row>
    <row r="116" spans="1:3">
      <c r="A116">
        <v>74</v>
      </c>
      <c r="B116"/>
      <c r="C116">
        <f t="shared" si="1"/>
        <v>0</v>
      </c>
    </row>
    <row r="117" spans="1:3">
      <c r="A117">
        <v>75</v>
      </c>
      <c r="B117">
        <v>374.1</v>
      </c>
      <c r="C117">
        <f t="shared" si="1"/>
        <v>15.7575502295607</v>
      </c>
    </row>
    <row r="118" spans="1:3">
      <c r="A118">
        <v>76</v>
      </c>
      <c r="B118"/>
      <c r="C118">
        <f t="shared" si="1"/>
        <v>0</v>
      </c>
    </row>
    <row r="119" spans="1:3">
      <c r="A119">
        <v>77</v>
      </c>
      <c r="B119"/>
      <c r="C119">
        <f t="shared" si="1"/>
        <v>0</v>
      </c>
    </row>
    <row r="120" spans="1:3">
      <c r="A120">
        <v>78</v>
      </c>
      <c r="B120"/>
      <c r="C120">
        <f t="shared" si="1"/>
        <v>0</v>
      </c>
    </row>
    <row r="121" spans="1:3">
      <c r="A121">
        <v>79</v>
      </c>
      <c r="B121"/>
      <c r="C121">
        <f t="shared" si="1"/>
        <v>0</v>
      </c>
    </row>
    <row r="122" spans="1:3">
      <c r="A122">
        <v>80</v>
      </c>
      <c r="B122">
        <v>322.5</v>
      </c>
      <c r="C122">
        <f t="shared" si="1"/>
        <v>13.8858988159311</v>
      </c>
    </row>
    <row r="123" spans="1:3">
      <c r="A123">
        <v>81</v>
      </c>
      <c r="B123"/>
      <c r="C123">
        <f t="shared" si="1"/>
        <v>0</v>
      </c>
    </row>
    <row r="124" spans="1:3">
      <c r="A124">
        <v>82</v>
      </c>
      <c r="B124"/>
      <c r="C124">
        <f t="shared" si="1"/>
        <v>0</v>
      </c>
    </row>
    <row r="125" spans="1:3">
      <c r="A125">
        <v>83</v>
      </c>
      <c r="B125"/>
      <c r="C125">
        <f t="shared" si="1"/>
        <v>0</v>
      </c>
    </row>
    <row r="126" spans="1:3">
      <c r="A126">
        <v>84</v>
      </c>
      <c r="B126"/>
      <c r="C126">
        <f t="shared" si="1"/>
        <v>0</v>
      </c>
    </row>
    <row r="127" spans="1:3">
      <c r="A127">
        <v>85</v>
      </c>
      <c r="B127">
        <v>279.5</v>
      </c>
      <c r="C127">
        <f t="shared" si="1"/>
        <v>12.2614608466769</v>
      </c>
    </row>
    <row r="128" spans="1:3">
      <c r="A128">
        <v>86</v>
      </c>
      <c r="B128"/>
      <c r="C128">
        <f t="shared" si="1"/>
        <v>0</v>
      </c>
    </row>
    <row r="129" spans="1:3">
      <c r="A129">
        <v>87</v>
      </c>
      <c r="B129"/>
      <c r="C129">
        <f t="shared" si="1"/>
        <v>0</v>
      </c>
    </row>
    <row r="130" spans="1:3">
      <c r="A130">
        <v>88</v>
      </c>
      <c r="B130"/>
      <c r="C130">
        <f t="shared" ref="C130:C193" si="2">100*B130/(B130+2000)</f>
        <v>0</v>
      </c>
    </row>
    <row r="131" spans="1:3">
      <c r="A131">
        <v>89</v>
      </c>
      <c r="B131"/>
      <c r="C131">
        <f t="shared" si="2"/>
        <v>0</v>
      </c>
    </row>
    <row r="132" spans="1:3">
      <c r="A132">
        <v>90</v>
      </c>
      <c r="B132">
        <v>243.1</v>
      </c>
      <c r="C132">
        <f t="shared" si="2"/>
        <v>10.8376799964335</v>
      </c>
    </row>
    <row r="133" spans="1:3">
      <c r="A133">
        <v>91</v>
      </c>
      <c r="B133"/>
      <c r="C133">
        <f t="shared" si="2"/>
        <v>0</v>
      </c>
    </row>
    <row r="134" spans="1:3">
      <c r="A134">
        <v>92</v>
      </c>
      <c r="B134"/>
      <c r="C134">
        <f t="shared" si="2"/>
        <v>0</v>
      </c>
    </row>
    <row r="135" spans="1:3">
      <c r="A135">
        <v>93</v>
      </c>
      <c r="B135"/>
      <c r="C135">
        <f t="shared" si="2"/>
        <v>0</v>
      </c>
    </row>
    <row r="136" spans="1:3">
      <c r="A136">
        <v>94</v>
      </c>
      <c r="B136"/>
      <c r="C136">
        <f t="shared" si="2"/>
        <v>0</v>
      </c>
    </row>
    <row r="137" spans="1:3">
      <c r="A137">
        <v>95</v>
      </c>
      <c r="B137">
        <v>212.6</v>
      </c>
      <c r="C137">
        <f t="shared" si="2"/>
        <v>9.60860526077917</v>
      </c>
    </row>
    <row r="138" spans="1:3">
      <c r="A138">
        <v>96</v>
      </c>
      <c r="B138"/>
      <c r="C138">
        <f t="shared" si="2"/>
        <v>0</v>
      </c>
    </row>
    <row r="139" spans="1:3">
      <c r="A139">
        <v>97</v>
      </c>
      <c r="B139"/>
      <c r="C139">
        <f t="shared" si="2"/>
        <v>0</v>
      </c>
    </row>
    <row r="140" spans="1:3">
      <c r="A140">
        <v>98</v>
      </c>
      <c r="B140"/>
      <c r="C140">
        <f t="shared" si="2"/>
        <v>0</v>
      </c>
    </row>
    <row r="141" spans="1:3">
      <c r="A141">
        <v>99</v>
      </c>
      <c r="B141"/>
      <c r="C141">
        <f t="shared" si="2"/>
        <v>0</v>
      </c>
    </row>
    <row r="142" spans="1:3">
      <c r="A142">
        <v>100</v>
      </c>
      <c r="B142">
        <v>186.6</v>
      </c>
      <c r="C142">
        <f t="shared" si="2"/>
        <v>8.53379676209641</v>
      </c>
    </row>
    <row r="143" spans="1:3">
      <c r="A143">
        <v>101</v>
      </c>
      <c r="B143"/>
      <c r="C143">
        <f t="shared" si="2"/>
        <v>0</v>
      </c>
    </row>
    <row r="144" spans="1:3">
      <c r="A144">
        <v>102</v>
      </c>
      <c r="B144"/>
      <c r="C144">
        <f t="shared" si="2"/>
        <v>0</v>
      </c>
    </row>
    <row r="145" spans="1:3">
      <c r="A145">
        <v>103</v>
      </c>
      <c r="B145"/>
      <c r="C145">
        <f t="shared" si="2"/>
        <v>0</v>
      </c>
    </row>
    <row r="146" spans="1:3">
      <c r="A146">
        <v>104</v>
      </c>
      <c r="B146"/>
      <c r="C146">
        <f t="shared" si="2"/>
        <v>0</v>
      </c>
    </row>
    <row r="147" spans="1:3">
      <c r="A147">
        <v>105</v>
      </c>
      <c r="B147">
        <v>163.8</v>
      </c>
      <c r="C147">
        <f t="shared" si="2"/>
        <v>7.57001571309733</v>
      </c>
    </row>
    <row r="148" spans="1:3">
      <c r="A148">
        <v>106</v>
      </c>
      <c r="B148"/>
      <c r="C148">
        <f t="shared" si="2"/>
        <v>0</v>
      </c>
    </row>
    <row r="149" spans="1:3">
      <c r="A149">
        <v>107</v>
      </c>
      <c r="B149"/>
      <c r="C149">
        <f t="shared" si="2"/>
        <v>0</v>
      </c>
    </row>
    <row r="150" spans="1:3">
      <c r="A150">
        <v>108</v>
      </c>
      <c r="B150"/>
      <c r="C150">
        <f t="shared" si="2"/>
        <v>0</v>
      </c>
    </row>
    <row r="151" spans="1:3">
      <c r="A151">
        <v>109</v>
      </c>
      <c r="B151"/>
      <c r="C151">
        <f t="shared" si="2"/>
        <v>0</v>
      </c>
    </row>
    <row r="152" spans="1:3">
      <c r="A152">
        <v>110</v>
      </c>
      <c r="B152">
        <v>144.2</v>
      </c>
      <c r="C152">
        <f t="shared" si="2"/>
        <v>6.72511892547337</v>
      </c>
    </row>
    <row r="153" spans="1:3">
      <c r="A153">
        <v>111</v>
      </c>
      <c r="B153"/>
      <c r="C153">
        <f t="shared" si="2"/>
        <v>0</v>
      </c>
    </row>
    <row r="154" spans="1:3">
      <c r="A154">
        <v>112</v>
      </c>
      <c r="B154"/>
      <c r="C154">
        <f t="shared" si="2"/>
        <v>0</v>
      </c>
    </row>
    <row r="155" spans="1:3">
      <c r="A155">
        <v>113</v>
      </c>
      <c r="B155"/>
      <c r="C155">
        <f t="shared" si="2"/>
        <v>0</v>
      </c>
    </row>
    <row r="156" spans="1:3">
      <c r="A156">
        <v>114</v>
      </c>
      <c r="B156"/>
      <c r="C156">
        <f t="shared" si="2"/>
        <v>0</v>
      </c>
    </row>
    <row r="157" spans="1:3">
      <c r="A157">
        <v>115</v>
      </c>
      <c r="B157">
        <v>127.3</v>
      </c>
      <c r="C157">
        <f t="shared" si="2"/>
        <v>5.9841113148122</v>
      </c>
    </row>
    <row r="158" spans="1:3">
      <c r="A158">
        <v>116</v>
      </c>
      <c r="B158"/>
      <c r="C158">
        <f t="shared" si="2"/>
        <v>0</v>
      </c>
    </row>
    <row r="159" spans="1:3">
      <c r="A159">
        <v>117</v>
      </c>
      <c r="B159"/>
      <c r="C159">
        <f t="shared" si="2"/>
        <v>0</v>
      </c>
    </row>
    <row r="160" spans="1:3">
      <c r="A160">
        <v>118</v>
      </c>
      <c r="B160"/>
      <c r="C160">
        <f t="shared" si="2"/>
        <v>0</v>
      </c>
    </row>
    <row r="161" spans="1:3">
      <c r="A161">
        <v>119</v>
      </c>
      <c r="B161"/>
      <c r="C161">
        <f t="shared" si="2"/>
        <v>0</v>
      </c>
    </row>
    <row r="162" spans="1:3">
      <c r="A162">
        <v>120</v>
      </c>
      <c r="B162">
        <v>112.7</v>
      </c>
      <c r="C162">
        <f t="shared" si="2"/>
        <v>5.33440621006295</v>
      </c>
    </row>
    <row r="163" spans="1:3">
      <c r="A163">
        <v>121</v>
      </c>
      <c r="B163"/>
      <c r="C163">
        <f t="shared" si="2"/>
        <v>0</v>
      </c>
    </row>
    <row r="164" spans="1:3">
      <c r="A164">
        <v>122</v>
      </c>
      <c r="B164"/>
      <c r="C164">
        <f t="shared" si="2"/>
        <v>0</v>
      </c>
    </row>
    <row r="165" spans="1:3">
      <c r="A165">
        <v>123</v>
      </c>
      <c r="B165"/>
      <c r="C165">
        <f t="shared" si="2"/>
        <v>0</v>
      </c>
    </row>
    <row r="166" spans="1:3">
      <c r="A166">
        <v>124</v>
      </c>
      <c r="B166"/>
      <c r="C166">
        <f t="shared" si="2"/>
        <v>0</v>
      </c>
    </row>
    <row r="167" spans="1:3">
      <c r="A167">
        <v>125</v>
      </c>
      <c r="B167">
        <v>100.2</v>
      </c>
      <c r="C167">
        <f t="shared" si="2"/>
        <v>4.77097419293401</v>
      </c>
    </row>
    <row r="168" spans="1:3">
      <c r="A168">
        <v>126</v>
      </c>
      <c r="B168"/>
      <c r="C168">
        <f t="shared" si="2"/>
        <v>0</v>
      </c>
    </row>
    <row r="169" spans="1:3">
      <c r="A169">
        <v>127</v>
      </c>
      <c r="B169"/>
      <c r="C169">
        <f t="shared" si="2"/>
        <v>0</v>
      </c>
    </row>
    <row r="170" spans="1:3">
      <c r="A170">
        <v>128</v>
      </c>
      <c r="B170"/>
      <c r="C170">
        <f t="shared" si="2"/>
        <v>0</v>
      </c>
    </row>
    <row r="171" spans="1:3">
      <c r="A171">
        <v>129</v>
      </c>
      <c r="B171"/>
      <c r="C171">
        <f t="shared" si="2"/>
        <v>0</v>
      </c>
    </row>
    <row r="172" spans="1:3">
      <c r="A172">
        <v>130</v>
      </c>
      <c r="B172">
        <v>89.28</v>
      </c>
      <c r="C172">
        <f t="shared" si="2"/>
        <v>4.2732424567315</v>
      </c>
    </row>
    <row r="173" spans="1:3">
      <c r="A173">
        <v>131</v>
      </c>
      <c r="B173"/>
      <c r="C173">
        <f t="shared" si="2"/>
        <v>0</v>
      </c>
    </row>
    <row r="174" spans="1:3">
      <c r="A174">
        <v>132</v>
      </c>
      <c r="B174"/>
      <c r="C174">
        <f t="shared" si="2"/>
        <v>0</v>
      </c>
    </row>
    <row r="175" spans="1:3">
      <c r="A175">
        <v>133</v>
      </c>
      <c r="B175"/>
      <c r="C175">
        <f t="shared" si="2"/>
        <v>0</v>
      </c>
    </row>
    <row r="176" spans="1:3">
      <c r="A176">
        <v>134</v>
      </c>
      <c r="B176"/>
      <c r="C176">
        <f t="shared" si="2"/>
        <v>0</v>
      </c>
    </row>
    <row r="177" spans="1:3">
      <c r="A177">
        <v>135</v>
      </c>
      <c r="B177"/>
      <c r="C177">
        <f t="shared" si="2"/>
        <v>0</v>
      </c>
    </row>
    <row r="178" spans="1:3">
      <c r="A178">
        <v>136</v>
      </c>
      <c r="B178"/>
      <c r="C178">
        <f t="shared" si="2"/>
        <v>0</v>
      </c>
    </row>
    <row r="179" spans="1:3">
      <c r="A179">
        <v>137</v>
      </c>
      <c r="B179"/>
      <c r="C179">
        <f t="shared" si="2"/>
        <v>0</v>
      </c>
    </row>
    <row r="180" spans="1:3">
      <c r="A180">
        <v>138</v>
      </c>
      <c r="B180"/>
      <c r="C180">
        <f t="shared" si="2"/>
        <v>0</v>
      </c>
    </row>
    <row r="181" spans="1:3">
      <c r="A181">
        <v>139</v>
      </c>
      <c r="B181"/>
      <c r="C181">
        <f t="shared" si="2"/>
        <v>0</v>
      </c>
    </row>
    <row r="182" spans="1:3">
      <c r="A182">
        <v>140</v>
      </c>
      <c r="B182"/>
      <c r="C182">
        <f t="shared" si="2"/>
        <v>0</v>
      </c>
    </row>
    <row r="183" spans="1:3">
      <c r="A183">
        <v>141</v>
      </c>
      <c r="B183"/>
      <c r="C183">
        <f t="shared" si="2"/>
        <v>0</v>
      </c>
    </row>
    <row r="184" spans="1:3">
      <c r="A184">
        <v>142</v>
      </c>
      <c r="B184"/>
      <c r="C184">
        <f t="shared" si="2"/>
        <v>0</v>
      </c>
    </row>
    <row r="185" spans="1:3">
      <c r="A185">
        <v>143</v>
      </c>
      <c r="B185"/>
      <c r="C185">
        <f t="shared" si="2"/>
        <v>0</v>
      </c>
    </row>
    <row r="186" spans="1:3">
      <c r="A186">
        <v>144</v>
      </c>
      <c r="B186"/>
      <c r="C186">
        <f t="shared" si="2"/>
        <v>0</v>
      </c>
    </row>
    <row r="187" spans="1:3">
      <c r="A187">
        <v>145</v>
      </c>
      <c r="B187"/>
      <c r="C187">
        <f t="shared" si="2"/>
        <v>0</v>
      </c>
    </row>
    <row r="188" spans="1:3">
      <c r="A188">
        <v>146</v>
      </c>
      <c r="B188"/>
      <c r="C188">
        <f t="shared" si="2"/>
        <v>0</v>
      </c>
    </row>
    <row r="189" spans="1:3">
      <c r="A189">
        <v>147</v>
      </c>
      <c r="B189"/>
      <c r="C189">
        <f t="shared" si="2"/>
        <v>0</v>
      </c>
    </row>
    <row r="190" spans="1:3">
      <c r="A190">
        <v>148</v>
      </c>
      <c r="B190"/>
      <c r="C190">
        <f t="shared" si="2"/>
        <v>0</v>
      </c>
    </row>
    <row r="191" spans="1:3">
      <c r="A191">
        <v>149</v>
      </c>
      <c r="B191"/>
      <c r="C191">
        <f t="shared" si="2"/>
        <v>0</v>
      </c>
    </row>
    <row r="192" spans="1:3">
      <c r="A192">
        <v>150</v>
      </c>
      <c r="B192"/>
      <c r="C192">
        <f t="shared" si="2"/>
        <v>0</v>
      </c>
    </row>
    <row r="193" spans="1:3">
      <c r="A193">
        <v>151</v>
      </c>
      <c r="B193"/>
      <c r="C193">
        <f t="shared" si="2"/>
        <v>0</v>
      </c>
    </row>
    <row r="194" spans="1:3">
      <c r="A194">
        <v>152</v>
      </c>
      <c r="B194"/>
      <c r="C194">
        <f t="shared" ref="C194:C257" si="3">100*B194/(B194+2000)</f>
        <v>0</v>
      </c>
    </row>
    <row r="195" spans="1:3">
      <c r="A195">
        <v>153</v>
      </c>
      <c r="B195"/>
      <c r="C195">
        <f t="shared" si="3"/>
        <v>0</v>
      </c>
    </row>
    <row r="196" spans="1:3">
      <c r="A196">
        <v>154</v>
      </c>
      <c r="B196"/>
      <c r="C196">
        <f t="shared" si="3"/>
        <v>0</v>
      </c>
    </row>
    <row r="197" spans="1:3">
      <c r="A197">
        <v>155</v>
      </c>
      <c r="B197"/>
      <c r="C197">
        <f t="shared" si="3"/>
        <v>0</v>
      </c>
    </row>
    <row r="198" spans="1:3">
      <c r="A198">
        <v>156</v>
      </c>
      <c r="B198"/>
      <c r="C198">
        <f t="shared" si="3"/>
        <v>0</v>
      </c>
    </row>
    <row r="199" spans="1:3">
      <c r="A199">
        <v>157</v>
      </c>
      <c r="B199"/>
      <c r="C199">
        <f t="shared" si="3"/>
        <v>0</v>
      </c>
    </row>
    <row r="200" spans="1:3">
      <c r="A200">
        <v>158</v>
      </c>
      <c r="B200"/>
      <c r="C200">
        <f t="shared" si="3"/>
        <v>0</v>
      </c>
    </row>
    <row r="201" spans="1:3">
      <c r="A201">
        <v>159</v>
      </c>
      <c r="B201"/>
      <c r="C201">
        <f t="shared" si="3"/>
        <v>0</v>
      </c>
    </row>
    <row r="202" spans="1:3">
      <c r="A202">
        <v>160</v>
      </c>
      <c r="B202"/>
      <c r="C202">
        <f t="shared" si="3"/>
        <v>0</v>
      </c>
    </row>
    <row r="203" spans="1:3">
      <c r="A203">
        <v>161</v>
      </c>
      <c r="B203"/>
      <c r="C203">
        <f t="shared" si="3"/>
        <v>0</v>
      </c>
    </row>
    <row r="204" spans="1:3">
      <c r="A204">
        <v>162</v>
      </c>
      <c r="B204"/>
      <c r="C204">
        <f t="shared" si="3"/>
        <v>0</v>
      </c>
    </row>
    <row r="205" spans="1:3">
      <c r="A205">
        <v>163</v>
      </c>
      <c r="B205"/>
      <c r="C205">
        <f t="shared" si="3"/>
        <v>0</v>
      </c>
    </row>
    <row r="206" spans="1:3">
      <c r="A206">
        <v>164</v>
      </c>
      <c r="B206"/>
      <c r="C206">
        <f t="shared" si="3"/>
        <v>0</v>
      </c>
    </row>
    <row r="207" spans="1:3">
      <c r="A207">
        <v>165</v>
      </c>
      <c r="B207"/>
      <c r="C207">
        <f t="shared" si="3"/>
        <v>0</v>
      </c>
    </row>
    <row r="208" spans="1:3">
      <c r="A208">
        <v>166</v>
      </c>
      <c r="B208"/>
      <c r="C208">
        <f t="shared" si="3"/>
        <v>0</v>
      </c>
    </row>
    <row r="209" spans="1:3">
      <c r="A209">
        <v>167</v>
      </c>
      <c r="B209"/>
      <c r="C209">
        <f t="shared" si="3"/>
        <v>0</v>
      </c>
    </row>
    <row r="210" spans="1:3">
      <c r="A210">
        <v>168</v>
      </c>
      <c r="B210"/>
      <c r="C210">
        <f t="shared" si="3"/>
        <v>0</v>
      </c>
    </row>
    <row r="211" spans="1:3">
      <c r="A211">
        <v>169</v>
      </c>
      <c r="B211"/>
      <c r="C211">
        <f t="shared" si="3"/>
        <v>0</v>
      </c>
    </row>
    <row r="212" spans="1:3">
      <c r="A212">
        <v>170</v>
      </c>
      <c r="B212"/>
      <c r="C212">
        <f t="shared" si="3"/>
        <v>0</v>
      </c>
    </row>
    <row r="213" spans="1:3">
      <c r="A213">
        <v>171</v>
      </c>
      <c r="B213"/>
      <c r="C213">
        <f t="shared" si="3"/>
        <v>0</v>
      </c>
    </row>
    <row r="214" spans="1:3">
      <c r="A214">
        <v>172</v>
      </c>
      <c r="B214"/>
      <c r="C214">
        <f t="shared" si="3"/>
        <v>0</v>
      </c>
    </row>
    <row r="215" spans="1:3">
      <c r="A215">
        <v>173</v>
      </c>
      <c r="B215"/>
      <c r="C215">
        <f t="shared" si="3"/>
        <v>0</v>
      </c>
    </row>
    <row r="216" spans="1:3">
      <c r="A216">
        <v>174</v>
      </c>
      <c r="B216"/>
      <c r="C216">
        <f t="shared" si="3"/>
        <v>0</v>
      </c>
    </row>
    <row r="217" spans="1:3">
      <c r="A217">
        <v>175</v>
      </c>
      <c r="B217"/>
      <c r="C217">
        <f t="shared" si="3"/>
        <v>0</v>
      </c>
    </row>
    <row r="218" spans="1:3">
      <c r="A218">
        <v>176</v>
      </c>
      <c r="B218"/>
      <c r="C218">
        <f t="shared" si="3"/>
        <v>0</v>
      </c>
    </row>
    <row r="219" spans="1:3">
      <c r="A219">
        <v>177</v>
      </c>
      <c r="B219"/>
      <c r="C219">
        <f t="shared" si="3"/>
        <v>0</v>
      </c>
    </row>
    <row r="220" spans="1:3">
      <c r="A220">
        <v>178</v>
      </c>
      <c r="B220"/>
      <c r="C220">
        <f t="shared" si="3"/>
        <v>0</v>
      </c>
    </row>
    <row r="221" spans="1:3">
      <c r="A221">
        <v>179</v>
      </c>
      <c r="B221"/>
      <c r="C221">
        <f t="shared" si="3"/>
        <v>0</v>
      </c>
    </row>
    <row r="222" spans="1:3">
      <c r="A222">
        <v>180</v>
      </c>
      <c r="B222"/>
      <c r="C222">
        <f t="shared" si="3"/>
        <v>0</v>
      </c>
    </row>
    <row r="223" spans="1:3">
      <c r="A223">
        <v>181</v>
      </c>
      <c r="B223"/>
      <c r="C223">
        <f t="shared" si="3"/>
        <v>0</v>
      </c>
    </row>
    <row r="224" spans="1:3">
      <c r="A224">
        <v>182</v>
      </c>
      <c r="B224"/>
      <c r="C224">
        <f t="shared" si="3"/>
        <v>0</v>
      </c>
    </row>
    <row r="225" spans="1:3">
      <c r="A225">
        <v>183</v>
      </c>
      <c r="B225"/>
      <c r="C225">
        <f t="shared" si="3"/>
        <v>0</v>
      </c>
    </row>
    <row r="226" spans="1:3">
      <c r="A226">
        <v>184</v>
      </c>
      <c r="B226"/>
      <c r="C226">
        <f t="shared" si="3"/>
        <v>0</v>
      </c>
    </row>
    <row r="227" spans="1:3">
      <c r="A227">
        <v>185</v>
      </c>
      <c r="B227"/>
      <c r="C227">
        <f t="shared" si="3"/>
        <v>0</v>
      </c>
    </row>
    <row r="228" spans="1:3">
      <c r="A228">
        <v>186</v>
      </c>
      <c r="B228"/>
      <c r="C228">
        <f t="shared" si="3"/>
        <v>0</v>
      </c>
    </row>
    <row r="229" spans="1:3">
      <c r="A229">
        <v>187</v>
      </c>
      <c r="B229"/>
      <c r="C229">
        <f t="shared" si="3"/>
        <v>0</v>
      </c>
    </row>
    <row r="230" spans="1:3">
      <c r="A230">
        <v>188</v>
      </c>
      <c r="B230"/>
      <c r="C230">
        <f t="shared" si="3"/>
        <v>0</v>
      </c>
    </row>
    <row r="231" spans="1:3">
      <c r="A231">
        <v>189</v>
      </c>
      <c r="B231"/>
      <c r="C231">
        <f t="shared" si="3"/>
        <v>0</v>
      </c>
    </row>
    <row r="232" spans="1:3">
      <c r="A232">
        <v>190</v>
      </c>
      <c r="B232"/>
      <c r="C232">
        <f t="shared" si="3"/>
        <v>0</v>
      </c>
    </row>
    <row r="233" spans="1:3">
      <c r="A233">
        <v>191</v>
      </c>
      <c r="B233"/>
      <c r="C233">
        <f t="shared" si="3"/>
        <v>0</v>
      </c>
    </row>
    <row r="234" spans="1:3">
      <c r="A234">
        <v>192</v>
      </c>
      <c r="B234"/>
      <c r="C234">
        <f t="shared" si="3"/>
        <v>0</v>
      </c>
    </row>
    <row r="235" spans="1:3">
      <c r="A235">
        <v>193</v>
      </c>
      <c r="B235"/>
      <c r="C235">
        <f t="shared" si="3"/>
        <v>0</v>
      </c>
    </row>
    <row r="236" spans="1:3">
      <c r="A236">
        <v>194</v>
      </c>
      <c r="B236"/>
      <c r="C236">
        <f t="shared" si="3"/>
        <v>0</v>
      </c>
    </row>
    <row r="237" spans="1:3">
      <c r="A237">
        <v>195</v>
      </c>
      <c r="B237"/>
      <c r="C237">
        <f t="shared" si="3"/>
        <v>0</v>
      </c>
    </row>
    <row r="238" spans="1:3">
      <c r="A238">
        <v>196</v>
      </c>
      <c r="B238"/>
      <c r="C238">
        <f t="shared" si="3"/>
        <v>0</v>
      </c>
    </row>
    <row r="239" spans="1:3">
      <c r="A239">
        <v>197</v>
      </c>
      <c r="B239"/>
      <c r="C239">
        <f t="shared" si="3"/>
        <v>0</v>
      </c>
    </row>
    <row r="240" spans="1:3">
      <c r="A240">
        <v>198</v>
      </c>
      <c r="B240"/>
      <c r="C240">
        <f t="shared" si="3"/>
        <v>0</v>
      </c>
    </row>
    <row r="241" spans="1:3">
      <c r="A241">
        <v>199</v>
      </c>
      <c r="B241"/>
      <c r="C241">
        <f t="shared" si="3"/>
        <v>0</v>
      </c>
    </row>
    <row r="242" spans="1:3">
      <c r="A242">
        <v>200</v>
      </c>
      <c r="B242"/>
      <c r="C242">
        <f t="shared" si="3"/>
        <v>0</v>
      </c>
    </row>
    <row r="243" spans="1:3">
      <c r="A243">
        <v>201</v>
      </c>
      <c r="B243"/>
      <c r="C243">
        <f t="shared" si="3"/>
        <v>0</v>
      </c>
    </row>
    <row r="244" spans="1:3">
      <c r="A244">
        <v>202</v>
      </c>
      <c r="B244"/>
      <c r="C244">
        <f t="shared" si="3"/>
        <v>0</v>
      </c>
    </row>
    <row r="245" spans="1:3">
      <c r="A245">
        <v>203</v>
      </c>
      <c r="B245"/>
      <c r="C245">
        <f t="shared" si="3"/>
        <v>0</v>
      </c>
    </row>
    <row r="246" spans="1:3">
      <c r="A246">
        <v>204</v>
      </c>
      <c r="B246"/>
      <c r="C246">
        <f t="shared" si="3"/>
        <v>0</v>
      </c>
    </row>
    <row r="247" spans="1:3">
      <c r="A247">
        <v>205</v>
      </c>
      <c r="B247"/>
      <c r="C247">
        <f t="shared" si="3"/>
        <v>0</v>
      </c>
    </row>
    <row r="248" spans="1:3">
      <c r="A248">
        <v>206</v>
      </c>
      <c r="B248"/>
      <c r="C248">
        <f t="shared" si="3"/>
        <v>0</v>
      </c>
    </row>
    <row r="249" spans="1:3">
      <c r="A249">
        <v>207</v>
      </c>
      <c r="B249"/>
      <c r="C249">
        <f t="shared" si="3"/>
        <v>0</v>
      </c>
    </row>
    <row r="250" spans="1:3">
      <c r="A250">
        <v>208</v>
      </c>
      <c r="B250"/>
      <c r="C250">
        <f t="shared" si="3"/>
        <v>0</v>
      </c>
    </row>
    <row r="251" spans="1:3">
      <c r="A251">
        <v>209</v>
      </c>
      <c r="B251"/>
      <c r="C251">
        <f t="shared" si="3"/>
        <v>0</v>
      </c>
    </row>
    <row r="252" spans="1:3">
      <c r="A252">
        <v>210</v>
      </c>
      <c r="B252"/>
      <c r="C252">
        <f t="shared" si="3"/>
        <v>0</v>
      </c>
    </row>
    <row r="253" spans="1:3">
      <c r="A253">
        <v>211</v>
      </c>
      <c r="B253"/>
      <c r="C253">
        <f t="shared" si="3"/>
        <v>0</v>
      </c>
    </row>
    <row r="254" spans="1:3">
      <c r="A254">
        <v>212</v>
      </c>
      <c r="B254"/>
      <c r="C254">
        <f t="shared" si="3"/>
        <v>0</v>
      </c>
    </row>
    <row r="255" spans="1:3">
      <c r="A255">
        <v>213</v>
      </c>
      <c r="B255"/>
      <c r="C255">
        <f t="shared" si="3"/>
        <v>0</v>
      </c>
    </row>
    <row r="256" spans="1:3">
      <c r="A256">
        <v>214</v>
      </c>
      <c r="B256"/>
      <c r="C256">
        <f t="shared" si="3"/>
        <v>0</v>
      </c>
    </row>
    <row r="257" spans="1:3">
      <c r="A257">
        <v>215</v>
      </c>
      <c r="B257"/>
      <c r="C257">
        <f t="shared" si="3"/>
        <v>0</v>
      </c>
    </row>
    <row r="258" spans="1:3">
      <c r="A258">
        <v>216</v>
      </c>
      <c r="B258"/>
      <c r="C258">
        <f t="shared" ref="C258:C292" si="4">100*B258/(B258+2000)</f>
        <v>0</v>
      </c>
    </row>
    <row r="259" spans="1:3">
      <c r="A259">
        <v>217</v>
      </c>
      <c r="B259"/>
      <c r="C259">
        <f t="shared" si="4"/>
        <v>0</v>
      </c>
    </row>
    <row r="260" spans="1:3">
      <c r="A260">
        <v>218</v>
      </c>
      <c r="B260"/>
      <c r="C260">
        <f t="shared" si="4"/>
        <v>0</v>
      </c>
    </row>
    <row r="261" spans="1:3">
      <c r="A261">
        <v>219</v>
      </c>
      <c r="B261"/>
      <c r="C261">
        <f t="shared" si="4"/>
        <v>0</v>
      </c>
    </row>
    <row r="262" spans="1:3">
      <c r="A262">
        <v>220</v>
      </c>
      <c r="B262"/>
      <c r="C262">
        <f t="shared" si="4"/>
        <v>0</v>
      </c>
    </row>
    <row r="263" spans="1:3">
      <c r="A263">
        <v>221</v>
      </c>
      <c r="B263"/>
      <c r="C263">
        <f t="shared" si="4"/>
        <v>0</v>
      </c>
    </row>
    <row r="264" spans="1:3">
      <c r="A264">
        <v>222</v>
      </c>
      <c r="B264"/>
      <c r="C264">
        <f t="shared" si="4"/>
        <v>0</v>
      </c>
    </row>
    <row r="265" spans="1:3">
      <c r="A265">
        <v>223</v>
      </c>
      <c r="B265"/>
      <c r="C265">
        <f t="shared" si="4"/>
        <v>0</v>
      </c>
    </row>
    <row r="266" spans="1:3">
      <c r="A266">
        <v>224</v>
      </c>
      <c r="B266"/>
      <c r="C266">
        <f t="shared" si="4"/>
        <v>0</v>
      </c>
    </row>
    <row r="267" spans="1:3">
      <c r="A267">
        <v>225</v>
      </c>
      <c r="B267"/>
      <c r="C267">
        <f t="shared" si="4"/>
        <v>0</v>
      </c>
    </row>
    <row r="268" spans="1:3">
      <c r="A268">
        <v>226</v>
      </c>
      <c r="B268"/>
      <c r="C268">
        <f t="shared" si="4"/>
        <v>0</v>
      </c>
    </row>
    <row r="269" spans="1:3">
      <c r="A269">
        <v>227</v>
      </c>
      <c r="B269"/>
      <c r="C269">
        <f t="shared" si="4"/>
        <v>0</v>
      </c>
    </row>
    <row r="270" spans="1:3">
      <c r="A270">
        <v>228</v>
      </c>
      <c r="B270"/>
      <c r="C270">
        <f t="shared" si="4"/>
        <v>0</v>
      </c>
    </row>
    <row r="271" spans="1:3">
      <c r="A271">
        <v>229</v>
      </c>
      <c r="B271"/>
      <c r="C271">
        <f t="shared" si="4"/>
        <v>0</v>
      </c>
    </row>
    <row r="272" spans="1:3">
      <c r="A272">
        <v>230</v>
      </c>
      <c r="B272"/>
      <c r="C272">
        <f t="shared" si="4"/>
        <v>0</v>
      </c>
    </row>
    <row r="273" spans="1:3">
      <c r="A273">
        <v>231</v>
      </c>
      <c r="B273"/>
      <c r="C273">
        <f t="shared" si="4"/>
        <v>0</v>
      </c>
    </row>
    <row r="274" spans="1:3">
      <c r="A274">
        <v>232</v>
      </c>
      <c r="B274"/>
      <c r="C274">
        <f t="shared" si="4"/>
        <v>0</v>
      </c>
    </row>
    <row r="275" spans="1:3">
      <c r="A275">
        <v>233</v>
      </c>
      <c r="B275"/>
      <c r="C275">
        <f t="shared" si="4"/>
        <v>0</v>
      </c>
    </row>
    <row r="276" spans="1:3">
      <c r="A276">
        <v>234</v>
      </c>
      <c r="B276"/>
      <c r="C276">
        <f t="shared" si="4"/>
        <v>0</v>
      </c>
    </row>
    <row r="277" spans="1:3">
      <c r="A277">
        <v>235</v>
      </c>
      <c r="B277"/>
      <c r="C277">
        <f t="shared" si="4"/>
        <v>0</v>
      </c>
    </row>
    <row r="278" spans="1:3">
      <c r="A278">
        <v>236</v>
      </c>
      <c r="B278"/>
      <c r="C278">
        <f t="shared" si="4"/>
        <v>0</v>
      </c>
    </row>
    <row r="279" spans="1:3">
      <c r="A279">
        <v>237</v>
      </c>
      <c r="B279"/>
      <c r="C279">
        <f t="shared" si="4"/>
        <v>0</v>
      </c>
    </row>
    <row r="280" spans="1:3">
      <c r="A280">
        <v>238</v>
      </c>
      <c r="B280"/>
      <c r="C280">
        <f t="shared" si="4"/>
        <v>0</v>
      </c>
    </row>
    <row r="281" spans="1:3">
      <c r="A281">
        <v>239</v>
      </c>
      <c r="B281"/>
      <c r="C281">
        <f t="shared" si="4"/>
        <v>0</v>
      </c>
    </row>
    <row r="282" spans="1:3">
      <c r="A282">
        <v>240</v>
      </c>
      <c r="B282"/>
      <c r="C282">
        <f t="shared" si="4"/>
        <v>0</v>
      </c>
    </row>
    <row r="283" spans="1:3">
      <c r="A283">
        <v>241</v>
      </c>
      <c r="B283"/>
      <c r="C283">
        <f t="shared" si="4"/>
        <v>0</v>
      </c>
    </row>
    <row r="284" spans="1:3">
      <c r="A284">
        <v>242</v>
      </c>
      <c r="B284"/>
      <c r="C284">
        <f t="shared" si="4"/>
        <v>0</v>
      </c>
    </row>
    <row r="285" spans="1:3">
      <c r="A285">
        <v>243</v>
      </c>
      <c r="B285"/>
      <c r="C285">
        <f t="shared" si="4"/>
        <v>0</v>
      </c>
    </row>
    <row r="286" spans="1:3">
      <c r="A286">
        <v>244</v>
      </c>
      <c r="B286"/>
      <c r="C286">
        <f t="shared" si="4"/>
        <v>0</v>
      </c>
    </row>
    <row r="287" spans="1:3">
      <c r="A287">
        <v>245</v>
      </c>
      <c r="B287"/>
      <c r="C287">
        <f t="shared" si="4"/>
        <v>0</v>
      </c>
    </row>
    <row r="288" spans="1:3">
      <c r="A288">
        <v>246</v>
      </c>
      <c r="B288"/>
      <c r="C288">
        <f t="shared" si="4"/>
        <v>0</v>
      </c>
    </row>
    <row r="289" spans="1:3">
      <c r="A289">
        <v>247</v>
      </c>
      <c r="B289"/>
      <c r="C289">
        <f t="shared" si="4"/>
        <v>0</v>
      </c>
    </row>
    <row r="290" spans="1:3">
      <c r="A290">
        <v>248</v>
      </c>
      <c r="B290"/>
      <c r="C290">
        <f t="shared" si="4"/>
        <v>0</v>
      </c>
    </row>
    <row r="291" spans="1:3">
      <c r="A291">
        <v>249</v>
      </c>
      <c r="B291"/>
      <c r="C291">
        <f t="shared" si="4"/>
        <v>0</v>
      </c>
    </row>
    <row r="292" spans="1:3">
      <c r="A292">
        <v>250</v>
      </c>
      <c r="B292"/>
      <c r="C292">
        <f t="shared" si="4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Air</vt:lpstr>
      <vt:lpstr>AFR</vt:lpstr>
      <vt:lpstr>Fuel</vt:lpstr>
      <vt:lpstr>Math</vt:lpstr>
      <vt:lpstr>Tool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2025-01-01T03:26:34Z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014986F17C1041DE9F788B226F10D632_12</vt:lpwstr>
  </property>
</Properties>
</file>