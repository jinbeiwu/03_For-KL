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1925" activeTab="3"/>
  </bookViews>
  <sheets>
    <sheet name="Note" sheetId="5" r:id="rId1"/>
    <sheet name="Air" sheetId="2" r:id="rId2"/>
    <sheet name="AFR" sheetId="6" r:id="rId3"/>
    <sheet name="Fuel" sheetId="7" r:id="rId4"/>
    <sheet name="TPSCntrl" sheetId="14" r:id="rId5"/>
    <sheet name="Spark" sheetId="9" r:id="rId6"/>
    <sheet name="BST" sheetId="10" r:id="rId7"/>
    <sheet name="KNK" sheetId="11" r:id="rId8"/>
    <sheet name="SNR" sheetId="8" r:id="rId9"/>
    <sheet name="DTC" sheetId="13" r:id="rId10"/>
  </sheets>
  <externalReferences>
    <externalReference r:id="rId11"/>
  </externalReferences>
  <definedNames>
    <definedName name="_xlnm._FilterDatabase" localSheetId="9" hidden="1">DTC!$A$2:$P$104</definedName>
    <definedName name="v_fm_hybrid_mode">[1]DiagConfig!$B$14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MTH</author>
  </authors>
  <commentList>
    <comment ref="D2" authorId="0">
      <text>
        <r>
          <rPr>
            <sz val="9"/>
            <rFont val="Tahoma"/>
            <charset val="134"/>
          </rPr>
          <t xml:space="preserve">DTCs are reported over the ISO 15031-4 / SAE J1979 protocol using the SAE J2012 2-byte format. Each DTC will consist of a DTC High Byte and a DTC Low Byte constructed from a combination of the J2012 System and ISO 15031-5 DTC / Flash Code.
The ISO 15031-5 DTC / Flash Code is also the value used with the MIL Blink functionality when blinking fault codes over the MIL.
The ISO 15031-5 is a 2-byte hexadecimal value and should typically have a maximum value of 0x3FFF. The value should follow the recommendations outlines in the SAE J2012 – Surface Vehicle Recommended Practice – Diagnostic Trouble Code Definitions document.
</t>
        </r>
      </text>
    </comment>
  </commentList>
</comments>
</file>

<file path=xl/sharedStrings.xml><?xml version="1.0" encoding="utf-8"?>
<sst xmlns="http://schemas.openxmlformats.org/spreadsheetml/2006/main" count="1748" uniqueCount="1324">
  <si>
    <t>3D Map Pattern</t>
  </si>
  <si>
    <t>CT_TAB(X,    Y)</t>
  </si>
  <si>
    <t>y/x</t>
  </si>
  <si>
    <t>Y1</t>
  </si>
  <si>
    <t>Y2</t>
  </si>
  <si>
    <t>Y3</t>
  </si>
  <si>
    <t>Y4</t>
  </si>
  <si>
    <t>Y5</t>
  </si>
  <si>
    <t>Y6</t>
  </si>
  <si>
    <t>Y7</t>
  </si>
  <si>
    <t>X1</t>
  </si>
  <si>
    <t>value</t>
  </si>
  <si>
    <t>X2</t>
  </si>
  <si>
    <t>X3</t>
  </si>
  <si>
    <t>X4</t>
  </si>
  <si>
    <t>X5</t>
  </si>
  <si>
    <t>X6</t>
  </si>
  <si>
    <t>X7</t>
  </si>
  <si>
    <t>2D Curve Pattern</t>
  </si>
  <si>
    <t>CT_TAB(X)</t>
  </si>
  <si>
    <t>x</t>
  </si>
  <si>
    <t>z</t>
  </si>
  <si>
    <t>ApplyFILT_1stOrderLag_usp(LfFILT_Old,LfFILT_New,LfFILT_k_Coeff )     -------&gt;    LfFILT_New * LfFILT_k_Coeff + LfFILT_Old * (1 - LfFILT_k_Coeff)</t>
  </si>
  <si>
    <t>Loop</t>
  </si>
  <si>
    <t>Equations</t>
  </si>
  <si>
    <t>MAP</t>
  </si>
  <si>
    <t>map.</t>
  </si>
  <si>
    <t>MAPUnfilt = MAPRaw * C_MAPSignalConvSlope + C_MAPSignalConvIntercept</t>
  </si>
  <si>
    <t>MAPUnfilt</t>
  </si>
  <si>
    <t>True manifold pressure signal before filtering, read at the calibrated manifold pressure reading angle MAPReadAngle</t>
  </si>
  <si>
    <t>MAPRaw</t>
  </si>
  <si>
    <t xml:space="preserve">Percentage of MAP sensor voltage signal divided by 5V </t>
  </si>
  <si>
    <t>15.6ms</t>
  </si>
  <si>
    <t>MAPReadAngle = CT_MAPReadAngleMain(VACActual)</t>
  </si>
  <si>
    <t>MAPReadAngle</t>
  </si>
  <si>
    <t>Crank angle (degrees after exhaust TDC) for reading manifold pressure signal</t>
  </si>
  <si>
    <t>MAPActual = ApplyFILT_1stOrderLag_usp(MAPActual,MAPUnfilt, C_MAPFiltCoef)</t>
  </si>
  <si>
    <t>MAPActual</t>
  </si>
  <si>
    <t>Derived from MAPUnfilt using a first-order filter with coefficient C_MAPFiltCoef</t>
  </si>
  <si>
    <t>MAPReadAngleDel = MAPReadAngle - C_TargetWheelErrorOfst</t>
  </si>
  <si>
    <t>MAPReadAngleDel</t>
  </si>
  <si>
    <t>Adjusted by C_TargetWheelErrorOfst and constrained between C_MAPReadingAngleMinLimit and C_MAPReadingAngleMaxLimit</t>
  </si>
  <si>
    <t>7.8ms</t>
  </si>
  <si>
    <t>MAPAltComp = CT_AltMAPCalcMult(Baro) * (MAPActual - C_AltMAPCalcOffset) + C_AltMAPCalcOffset</t>
  </si>
  <si>
    <t>MAPAltComp</t>
  </si>
  <si>
    <t>Manifold pressure adjusted for altitude (maximum corrected to 100 kPa at high altitudes)</t>
  </si>
  <si>
    <t>7.8ms.</t>
  </si>
  <si>
    <t>MAPEstimated = CT_MAPEstimateMain(EngineSpeed,TPS)</t>
  </si>
  <si>
    <t>MAPEstimated</t>
  </si>
  <si>
    <t>Obtained from CT_MAPEstimateMain based on speed and throttle position</t>
  </si>
  <si>
    <t>NominalBaro = Baro/C_ReferenceBaro</t>
  </si>
  <si>
    <t>C_ReferenceBaro</t>
  </si>
  <si>
    <t>Atmospheric pressure during bench testing</t>
  </si>
  <si>
    <t>NominalBaro</t>
  </si>
  <si>
    <t xml:space="preserve">Directly assigned 1.0 if C_TurboEngUsed enabled, </t>
  </si>
  <si>
    <t>MAPEstCorr = MAPEstimated * NominalBaro</t>
  </si>
  <si>
    <t>MAPExpected = MAPEstCorr * AFCMult</t>
  </si>
  <si>
    <t>MAPExpected</t>
  </si>
  <si>
    <t>Directly assigned from MAPActual when throttle position TPS is below C_ExpectMAPUsedTPSThreshLo and calculation resumes only when TPS exceeds C_ExpectMAPUsedTPSThreshHi.</t>
  </si>
  <si>
    <t>MAPExpAltCmpd = MAPExpected / NominalBaro</t>
  </si>
  <si>
    <t>AFCMult</t>
  </si>
  <si>
    <t>AFCLMet = 1  if all the following conditions are met for more than C_AFLCSteadyStateTime</t>
  </si>
  <si>
    <t>TPS &lt; CT_AFLCTPSMaxThresh(EngineSpeed) and below the last grid point in CT_AFLCCellTPSBoundary</t>
  </si>
  <si>
    <t>TPSDiffF2UF &lt; C_AFLCTPSDeltaThresh.</t>
  </si>
  <si>
    <t>EngSpdErrF2UF &lt; C_AFLCEngSpdDeltaThresh</t>
  </si>
  <si>
    <t>Cylinder identification success (CIDSucceed).</t>
  </si>
  <si>
    <t>Baro &gt; C_AFLCBaroMinThresh</t>
  </si>
  <si>
    <t>EngineSpeed is between C_AFLCEngSpdMinThresh and C_AFLCEngSpdMaxThresh.</t>
  </si>
  <si>
    <t>CoolTemp is between C_AFLCCoolTempMinThresh and C_AFLCCoolTempMaxThresh.</t>
  </si>
  <si>
    <t>ChrgAirTmpCyl1 is between C_AFLCChargeAirTempMinThresh and C_AFLCChargeAirTempMaxThresh.</t>
  </si>
  <si>
    <t>No faults in MAP and TPS signals; default values are not being used</t>
  </si>
  <si>
    <r>
      <rPr>
        <sz val="11"/>
        <color theme="4" tint="-0.25"/>
        <rFont val="Malgun Gothic"/>
        <charset val="134"/>
      </rPr>
      <t>AFCFiltExpMAPMult = ApplyFILT_1stOrderLag_usp(AFCFiltExpMAPMult,</t>
    </r>
    <r>
      <rPr>
        <u/>
        <sz val="11"/>
        <color theme="4" tint="-0.25"/>
        <rFont val="Malgun Gothic"/>
        <charset val="134"/>
      </rPr>
      <t>AFCFiltMAP / MAPEstCorr</t>
    </r>
    <r>
      <rPr>
        <sz val="11"/>
        <color theme="4" tint="-0.25"/>
        <rFont val="Malgun Gothic"/>
        <charset val="134"/>
      </rPr>
      <t>, C_AFLCMultLearnCoef)</t>
    </r>
  </si>
  <si>
    <t xml:space="preserve">CT_AFLCCellEngSpdBoundary </t>
  </si>
  <si>
    <t xml:space="preserve">Grid boundaries </t>
  </si>
  <si>
    <t xml:space="preserve">CT_AFLCCellTPSBoundary </t>
  </si>
  <si>
    <t xml:space="preserve">C_AFLCCellEngSpdBoundaryHyst </t>
  </si>
  <si>
    <t>Prevents frequent switching between adjacent grids.</t>
  </si>
  <si>
    <t>C_AFLCCellTPSBoundaryHyst</t>
  </si>
  <si>
    <t xml:space="preserve">C_AFLCLearnedMultMin </t>
  </si>
  <si>
    <t>C_AFLCLearnedMultMax</t>
  </si>
  <si>
    <t>AFCCell[AFCCellNum] = AFCFiltExpMAPMult</t>
  </si>
  <si>
    <t>AFCMult = AFCCell[AFCCellNum]</t>
  </si>
  <si>
    <t>Volumetric Efficiency (VE)</t>
  </si>
  <si>
    <t>VECylx = CT_VEMainHighLoadCylx(EngineSpeed,MAPExpAltCmpd) * CT_VEAltCorrFactor(Baro,MAPExpAltCmpd)</t>
  </si>
  <si>
    <t>Charge Air Temperature</t>
  </si>
  <si>
    <t>CATFactorCyl1 = CT_ChargeAirTempFactorCyl1(EngineSpeed,MAPExpected) + CT_CATFactorCLTIATCorr(CoolTemp,IntakeAirTemp)</t>
  </si>
  <si>
    <r>
      <rPr>
        <sz val="11"/>
        <color theme="4" tint="-0.25"/>
        <rFont val="Malgun Gothic"/>
        <charset val="134"/>
      </rPr>
      <t xml:space="preserve">ChrgAirTmpCyl1 = ApplyFILT_1stOrderLag_ssp(ChrgAirTmpCyl1, </t>
    </r>
    <r>
      <rPr>
        <u/>
        <sz val="11"/>
        <color theme="4" tint="-0.25"/>
        <rFont val="Malgun Gothic"/>
        <charset val="134"/>
      </rPr>
      <t>CoolTemp - CATFactorCyl1 * (CoolTemp - IntakeAirTemp)</t>
    </r>
    <r>
      <rPr>
        <sz val="11"/>
        <color theme="4" tint="-0.25"/>
        <rFont val="Malgun Gothic"/>
        <charset val="134"/>
      </rPr>
      <t>, C_ChargeAirTempFiltCoef)</t>
    </r>
  </si>
  <si>
    <t>Atmospheric Pressure Update (Baro)</t>
  </si>
  <si>
    <t>62.5ms</t>
  </si>
  <si>
    <t>Baro = ApplyFILT_1stOrderLag_usp(Baro, MAP, C_BaroUpdtFiltCoefStall)</t>
  </si>
  <si>
    <t>Stability Check</t>
  </si>
  <si>
    <t>If the difference between the manifold pressure (MAP) readings across C_BaroStallUpdateMAPCheckTimes (sampled every 62.5 ms) is within C_DeltaMAPThrshForBaroUpdtStall, MAP is considered stable.</t>
  </si>
  <si>
    <t>Baro = ApplyFILT_1stOrderLag_usp(Baro,MAP, C_BaroUpdtFiltCoefRun)</t>
  </si>
  <si>
    <t>Pressure read at tooth CT_BaroReadTooth(EngineSpeed)  + CT_BaroUpdtEngRunOfstMain(EngineSpeed, TPS)</t>
  </si>
  <si>
    <t>C_BaroMinLimit</t>
  </si>
  <si>
    <t>C_BaroMaxLimit</t>
  </si>
  <si>
    <t>C_BaroDefault</t>
  </si>
  <si>
    <t>Baro assigned from C_BaroDefault if MAP faults present</t>
  </si>
  <si>
    <t>Conditions for Update</t>
  </si>
  <si>
    <t>1. Cylinder detection is successful (CIDSucceed).</t>
  </si>
  <si>
    <t xml:space="preserve">2. Engine speed (EngineSpeed) &lt; C_BaroUpdtEngSpdThrshHi, and speed fluctuation (EngSpdErrF2UF) &lt; C_BaroUpdateDltEngSpdThresh. </t>
  </si>
  <si>
    <t xml:space="preserve">3. Throttle position (TPS) is between CT_BaroUpdtEngRunTPSMinThresh and CT_BaroUpdtEngRunTPSMaxThresh. </t>
  </si>
  <si>
    <t xml:space="preserve">4. TPS fluctuation (TPSDiffF2UF) &lt; C_BaroUpdtEngRunTPSDeltaMaxThrsh. </t>
  </si>
  <si>
    <t>Intake Calculation</t>
  </si>
  <si>
    <t>half turn</t>
  </si>
  <si>
    <t>AirPerCylx = (1/(273+ChrgAirTmpCyl1)) * MAPExpected * VECylx * (C_CylinderDisplacement / 1000) * (28.97/8.314 ) / 100            {x = 1, 2 .....}</t>
  </si>
  <si>
    <t>ChrgAirTmpCyl1</t>
  </si>
  <si>
    <t>Intake charge temperature</t>
  </si>
  <si>
    <t>Characteristic intake pressure</t>
  </si>
  <si>
    <t>VECylx</t>
  </si>
  <si>
    <t>Intake charge efficiency corresponding to the characteristic intake pressure</t>
  </si>
  <si>
    <t>C_CylinderDisplacement</t>
  </si>
  <si>
    <t>Single-cylinder displacement</t>
  </si>
  <si>
    <t>AirFlowCylx = AirPerCylx / (RefPeriod / 1000)     {x = 1, 2 .....}</t>
  </si>
  <si>
    <t>AirFlowCylx</t>
  </si>
  <si>
    <t>Airflow rate</t>
  </si>
  <si>
    <t>RefPeriod</t>
  </si>
  <si>
    <t>Time for the crankshaft to complete a half-turn</t>
  </si>
  <si>
    <t>Start Air-Fuel Ratio (AFR)</t>
  </si>
  <si>
    <t>31.2ms</t>
  </si>
  <si>
    <t>AFRTarget = CT_AFRCrank_XX(CoolTemp) + CT_AFRCrankBaroComp(Baro) - AFRCrkRSOfst;      XX :  NG, LPG, etc</t>
  </si>
  <si>
    <t>AFRCrkRSOfst  Behavior</t>
  </si>
  <si>
    <t>Details</t>
  </si>
  <si>
    <t>Initialization</t>
  </si>
  <si>
    <t>Upon power-up, AFRCrkRSOfst is initialized to C_CrankAFROffset.</t>
  </si>
  <si>
    <t>Decay During Cranking</t>
  </si>
  <si>
    <t>1. During cranking, after the engine has rotated for C_CrankAFROffsetDecayDelay half-turns, AFRCrkRSOfst starts to decay.</t>
  </si>
  <si>
    <t>2. Every C_CrankAFROffsetDecayInterval, AFRCrkRSOfst is reduced by a factor of C_CrankAFROffsetDecayFactor</t>
  </si>
  <si>
    <t>Reinitialization Conditions</t>
  </si>
  <si>
    <t>1. CoolTemp exceeds C_CrankAFROffsetResetCltTempThrsh</t>
  </si>
  <si>
    <t>2. RunTime exceeds C_CrankAFROffsetResetRunTimeThrsh.</t>
  </si>
  <si>
    <t>Run Air-Fuel Ratio (AFR)</t>
  </si>
  <si>
    <t>Power Enrichment Mode</t>
  </si>
  <si>
    <t>AFRTarget = CT_AFRPowerEnrich(EngineSpeed,TPS) * CT_AFRPECoolTempMult(CoolTemp)</t>
  </si>
  <si>
    <t>PowerEnrich</t>
  </si>
  <si>
    <t>Activation</t>
  </si>
  <si>
    <t>TPS exceeds CT_PowerEnrichEnbTPSThresh(EngineSpeed)</t>
  </si>
  <si>
    <t>Deactivation</t>
  </si>
  <si>
    <t>1. TPS falls below CT_PowerEnrichEnbTPSThresh(EngineSpeed) - C_PowerEnrichDsblTPSThrshHyst</t>
  </si>
  <si>
    <t>2. The condition lasts longer than CT_PowerEnrichExitDelay(EngineSpeed)</t>
  </si>
  <si>
    <t>Extended Power Enrichment Mode</t>
  </si>
  <si>
    <r>
      <rPr>
        <sz val="11"/>
        <color theme="4" tint="-0.25"/>
        <rFont val="Malgun Gothic"/>
        <charset val="134"/>
      </rPr>
      <t>AFRTarget = CT_AFRPowerEnrich(EngineSpeed,TPS)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C_ExtPEModeAFRExtraOffset</t>
    </r>
  </si>
  <si>
    <t>ExtPEModeEnb</t>
  </si>
  <si>
    <t>CoolTemp exceeds C_ExtPEModeCoolTempThresh and stays high for longer than C_ExtPEModeEnableDelay</t>
  </si>
  <si>
    <t>Extended mode exits when power enrichment mode is deactivated for longer than C_ExtPEModeDisableDelay</t>
  </si>
  <si>
    <t>Closed-Loop Mode</t>
  </si>
  <si>
    <t>AFRTarget = C_ClosedLoopAFR</t>
  </si>
  <si>
    <t>Closed-loop fuel control is enabled when FuelCLEnbCyl1 is set, and coolant temperature (CoolTemp) exceeds C_CLAFREnbCoolTempThresh</t>
  </si>
  <si>
    <t>Open-Loop Mode</t>
  </si>
  <si>
    <r>
      <rPr>
        <sz val="11"/>
        <color theme="4" tint="-0.25"/>
        <rFont val="Malgun Gothic"/>
        <charset val="134"/>
      </rPr>
      <t>AFRTarget = CT_AirFuelRatioBase(EngineSpeed,MAPExpected)×CT_AirFuelRatioBaseCoolTempMult(CoolTemp)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AFRWarmUp</t>
    </r>
  </si>
  <si>
    <t>Open-loop mode is active when closed-loop is not enabled, and the engine is not in power enrichment mode.</t>
  </si>
  <si>
    <t xml:space="preserve">Lean Limit </t>
  </si>
  <si>
    <t>The base AFR is limited by CT_AFRLeanLimit(CoolTemp). If acceleration enrichment is activated (AccEnrich = true), the target AFR will be further restricted by C_AFRLeanLimitDuringAE.</t>
  </si>
  <si>
    <t>AFR Warm-Up Correction</t>
  </si>
  <si>
    <t>Aspect</t>
  </si>
  <si>
    <t>Purpose</t>
  </si>
  <si>
    <t>AFRWarmUp helps transition the air-fuel ratio from startup to warm-up or closed-loop AFR. It decays gradually to 0 during the warm-up phase.</t>
  </si>
  <si>
    <t>Idle and Run Warm-Up Corrections</t>
  </si>
  <si>
    <t>AFRWarmUpIdle is used for cold start idle conditions, and AFRWarmUpRun is used for non-idle conditions.</t>
  </si>
  <si>
    <t xml:space="preserve">Initial Values </t>
  </si>
  <si>
    <t>AFRWarmUpRun = CT_AFRWarmUpOffsetRun(CoolTemp)+CT_AFRWarmUpOffsetBaroCompRun(Baro).</t>
  </si>
  <si>
    <t>AFRWarmUpIdle = CT_AFRWarmUpOffsetIdle(CoolTemp)+CT_AFRWarmUpOffsetBaroCompIdle(Baro).</t>
  </si>
  <si>
    <t>Decay</t>
  </si>
  <si>
    <t>These corrections decay over time by a factor of C_AFRWarmUpOffsetDecayFactor at intervals defined by CT_AFRWarmUpOffsetDecayIntervel.</t>
  </si>
  <si>
    <t>Closed-Loop Mode Transition</t>
  </si>
  <si>
    <t>If the closed-loop AFR condition is met, AFRWarmUpIdle and AFRWarmUpRun are reset to 0.</t>
  </si>
  <si>
    <t xml:space="preserve">Engine Shutdown </t>
  </si>
  <si>
    <t>When the engine shuts off, if AFRWarmUpIdle and AFRWarmUpRun have decayed below 0.1 and the engine coolant temperature exceeds C_ColdEnrichCompTempThresh, both will be reset for the next start.</t>
  </si>
  <si>
    <t>Air-Fuel Ratio Transition</t>
  </si>
  <si>
    <r>
      <rPr>
        <sz val="11"/>
        <color theme="4" tint="-0.25"/>
        <rFont val="Malgun Gothic"/>
        <charset val="134"/>
      </rPr>
      <t>AFRFinal = 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 xml:space="preserve"> (AFRTarget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AFRFinal) * C_AFRCrankToRunDecayFactor</t>
    </r>
  </si>
  <si>
    <t xml:space="preserve">Crank to Run Transition </t>
  </si>
  <si>
    <t>Decay Process</t>
  </si>
  <si>
    <t>Every CT_AFRCrankToRunDecayInterval interval, AFRFinal decays towards AFRTarget.</t>
  </si>
  <si>
    <t>End of Transition</t>
  </si>
  <si>
    <t>The transition ends when: AFRFinal exceeds AFRTarget, or  the difference between AFRFinal and AFRTarget is less than 0.1.</t>
  </si>
  <si>
    <t>Reset Flag</t>
  </si>
  <si>
    <t>The AFRCrankToRun flag is reset once the transition is complete.</t>
  </si>
  <si>
    <t>Warm-Up Transition</t>
  </si>
  <si>
    <t>Post-Start Transition</t>
  </si>
  <si>
    <t>After the start-to-run transition ends, the AFR transition continues into the warm-up phase</t>
  </si>
  <si>
    <t>AFRFinal</t>
  </si>
  <si>
    <t>During the warm-up phase, AFRFinal is directly set to AFRTarget.</t>
  </si>
  <si>
    <t>Power Enrichment Mode Transition</t>
  </si>
  <si>
    <t>Power Enrichment Active</t>
  </si>
  <si>
    <t>When power enrichment mode is active (PowerEnrich = true), AFRFinal transitions towards AFRTarget.</t>
  </si>
  <si>
    <t xml:space="preserve">Transition Interval </t>
  </si>
  <si>
    <t>Every C_AFRPERampInterval interval, AFRFinal adjusts towards AFRTarget in steps.</t>
  </si>
  <si>
    <t xml:space="preserve">Step Adjustment </t>
  </si>
  <si>
    <t>Depending on whether AFRFinal needs to increase or decrease, the following steps are applied:</t>
  </si>
  <si>
    <t>Increase: AFRFinal+C_AFRPERampUpStep</t>
  </si>
  <si>
    <r>
      <rPr>
        <sz val="11"/>
        <color theme="1"/>
        <rFont val="Malgun Gothic"/>
        <charset val="134"/>
      </rPr>
      <t>Decrease: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>C_AFRPERampDownStep</t>
    </r>
  </si>
  <si>
    <t>General Mode Transition</t>
  </si>
  <si>
    <t>Every C_AFRRampIntervalRun interval, AFRFinal changes in steps.</t>
  </si>
  <si>
    <t xml:space="preserve">Idle vs. Run Transition </t>
  </si>
  <si>
    <t>Depending on whether the engine is in idle or non-idle state, the following step sizes are applied:</t>
  </si>
  <si>
    <r>
      <rPr>
        <sz val="11"/>
        <color theme="1"/>
        <rFont val="Malgun Gothic"/>
        <charset val="134"/>
      </rPr>
      <t>Idle :  AFRFinal+C_AFRRampUpStepIdle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</si>
  <si>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r>
      <rPr>
        <sz val="11"/>
        <color theme="1"/>
        <rFont val="Malgun Gothic"/>
        <charset val="134"/>
      </rPr>
      <t>Run:   AFRFinal+C_AFRRampUpStepRun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</si>
  <si>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t>Oxygen Sensor Heating Enable Conditions</t>
  </si>
  <si>
    <t>O2HeaterOutputEnable = 1 if all of following conditions are met</t>
  </si>
  <si>
    <t xml:space="preserve">1. C_HeatedO2SensorUsed = 1 </t>
  </si>
  <si>
    <t>2. C_O2HeaterEnbKeyOnDelay &lt; Key-on time, and engine is started</t>
  </si>
  <si>
    <t>3. IGNVolt &lt; C_MaxBatteryVoltForO2Heater</t>
  </si>
  <si>
    <t>4. No oxygen sensor heating-related faults</t>
  </si>
  <si>
    <t xml:space="preserve">5. ClTStartup &gt; C_O2HeaterCoolantTempThresh or O2HtAccFuelMass &gt; CT_O2HeaterAccFuelMassThresh(ClTStartup) </t>
  </si>
  <si>
    <t>Accumulated Fuel Mass Calculation</t>
  </si>
  <si>
    <r>
      <t>O2HtAccFuelMass = O2HtAccFuelMass + (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* InjectorFlow / 1000) </t>
    </r>
  </si>
  <si>
    <t>O2HtAccFuelMass</t>
  </si>
  <si>
    <t>Updated every C_O2HeaterAccFuelMassUpdateTime interval; all FinalFPWCyls = FinalFPWCyl1 + FinalFPWCyl2 + .....</t>
  </si>
  <si>
    <t>Oxygen Sensor Heater Duty Cycle Calculation</t>
  </si>
  <si>
    <t xml:space="preserve">O2HeaterDutyCycle = CT_O2HeaterDutyCycleMain(CoolTemp) * C_O2HeaterDCReducedFactor </t>
  </si>
  <si>
    <t xml:space="preserve">High Load </t>
  </si>
  <si>
    <t xml:space="preserve">EngineSpeed &gt; C_O2HeaterDCReducedEngSpdThrsh and MAPExpected &gt; C_O2HeaterDCReducedMAPThrsh </t>
  </si>
  <si>
    <t xml:space="preserve">O2HeaterDutyCycle = CT_O2HeaterDutyCycleMain(CoolTemp) * C_O2HeaterDCNormFactor </t>
  </si>
  <si>
    <t>Oxygen Sensor Signal Processing for Closed-Loop Control</t>
  </si>
  <si>
    <t xml:space="preserve">FO21Filt (Filtered O2 Voltage) </t>
  </si>
  <si>
    <t>FO2Filt = ApplyFILT_1stOrderLag_usp(FO2Filt, O2Volt , CT_O2SignalFiltCoef(EngineSpeed)); only updated if FPropRichHold = 0</t>
  </si>
  <si>
    <t xml:space="preserve">FO21Filt Reset </t>
  </si>
  <si>
    <t>FO21Filt is reset to 450mV when FuelINTRstCyl1 = true is triggered</t>
  </si>
  <si>
    <t xml:space="preserve">FO21Rich (Rich State of Original O2 Signal) </t>
  </si>
  <si>
    <t xml:space="preserve">O2Volt &gt; FO2RLThresh + WindowDelta for rich, O2Volt &lt; FO2RLThresh - WindowDelta for lean </t>
  </si>
  <si>
    <t xml:space="preserve">FO21FiltRich (Rich State of Filtered O2 Signal) </t>
  </si>
  <si>
    <t xml:space="preserve">FO21Filt &gt; FO2RLThresh for rich, FO21Filt &lt; FO2RLThresh for lean </t>
  </si>
  <si>
    <t xml:space="preserve">FO2RLThresh (Base Rich-Lean Threshold) </t>
  </si>
  <si>
    <t xml:space="preserve">FO2RLThresh = CT_FuelO2RichLeanThreshBase_XXX(MAPExpected, EngineSpeed) </t>
  </si>
  <si>
    <t xml:space="preserve">Rich/Lean Window (WindowDelta) </t>
  </si>
  <si>
    <t xml:space="preserve">Non-idle: C_FuelO2RichLeanWindowDelta, Idle: C_FuelO2RichLeanWindowDelta / 2 </t>
  </si>
  <si>
    <t xml:space="preserve">FO21Error (Oxygen Signal Error) </t>
  </si>
  <si>
    <t>FO21Error = |FO2RLThresh - FO21Filt| - CT_O2ErrorCalcOffset(EngineSpeed),   result constrained betweent 0 and C_O2ErrorMaxLimit</t>
  </si>
  <si>
    <t>FO21Ready (Oxygen Sensor Readiness)</t>
  </si>
  <si>
    <t xml:space="preserve">O2Volt &lt; C_O2ReadyThresh sustained for C_O2ReadyTimeThresh for readiness, or O2Volt &gt; C_O2ReadyThresh sustained for C_O2ReadyResetTimeThresh to reset </t>
  </si>
  <si>
    <t xml:space="preserve">Oxygen Signal High at Low Temperature </t>
  </si>
  <si>
    <t>O2Volt &gt; 1V when the sensor is not yet ready</t>
  </si>
  <si>
    <t>Closed-Loop Fuel Control Enable Conditions</t>
  </si>
  <si>
    <r>
      <t>FuelCLEnbCyl1 =</t>
    </r>
    <r>
      <rPr>
        <u/>
        <sz val="11"/>
        <color theme="1"/>
        <rFont val="Malgun Gothic"/>
        <charset val="134"/>
      </rPr>
      <t xml:space="preserve"> (C_CLFuelControlEnb = 1)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(Engine state = Run)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(Runtime &gt; C_FuelCLEnbRunTimeThrsh </t>
    </r>
    <r>
      <rPr>
        <sz val="11"/>
        <color theme="1"/>
        <rFont val="Malgun Gothic"/>
        <charset val="134"/>
      </rPr>
      <t xml:space="preserve">) AND </t>
    </r>
    <r>
      <rPr>
        <u/>
        <sz val="11"/>
        <color theme="1"/>
        <rFont val="Malgun Gothic"/>
        <charset val="134"/>
      </rPr>
      <t>(CoolTemp &gt; CT_FuelCLEnbCoolTempThrsh(ClTStartup) )</t>
    </r>
    <r>
      <rPr>
        <sz val="11"/>
        <color theme="1"/>
        <rFont val="Malgun Gothic"/>
        <charset val="134"/>
      </rPr>
      <t xml:space="preserve"> AND </t>
    </r>
    <r>
      <rPr>
        <u/>
        <sz val="11"/>
        <color theme="1"/>
        <rFont val="Malgun Gothic"/>
        <charset val="134"/>
      </rPr>
      <t xml:space="preserve">(FO21Ready = 1) </t>
    </r>
    <r>
      <rPr>
        <sz val="11"/>
        <color theme="1"/>
        <rFont val="Malgun Gothic"/>
        <charset val="134"/>
      </rPr>
      <t xml:space="preserve">AND </t>
    </r>
    <r>
      <rPr>
        <u/>
        <sz val="11"/>
        <color theme="1"/>
        <rFont val="Malgun Gothic"/>
        <charset val="134"/>
      </rPr>
      <t>(No sensor or actuator faults present. )</t>
    </r>
  </si>
  <si>
    <t>Closed-Loop Fuel Correction on Injector Pulse Width</t>
  </si>
  <si>
    <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× INTRatioCyl1     if (C_CLFuelIntegralMultUsed = 1)</t>
    </r>
  </si>
  <si>
    <t>FuelINTCyl1 = FuelINTCyl1 +- FuelPropCyl1 / C_FuelSTFuelTrimPctConvFactor   if (C_CLFuelIntegralMultUsed = 1)</t>
  </si>
  <si>
    <t>INTRatioCyl1=1+FuelINTCyl1×C_FuelSTFuelTrimPctConvFactor    if (C_CLFuelIntegralMultUsed = 1)</t>
  </si>
  <si>
    <t xml:space="preserve">C_FuelSTFuelTrimPctConvFactor </t>
  </si>
  <si>
    <t>factor for converting the fuel integral into a ratio</t>
  </si>
  <si>
    <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+ FuelCLTermCyl1   if C_CLFuelIntegralMultUsed = 0</t>
    </r>
  </si>
  <si>
    <t>FuelCLTermCyl1=FuelINTCyl1×C_FuelSTFuelTrimPWConvFactor±BaseFPWCyl1×FuelPropCyl1     if C_CLFuelIntegralMultUsed = 0</t>
  </si>
  <si>
    <t>C_FuelSTFuelTrimPWConvFactor</t>
  </si>
  <si>
    <t xml:space="preserve"> factor for converting the integral value to a pulse width</t>
  </si>
  <si>
    <t>Closed-Loop Fuel Reset Conditions</t>
  </si>
  <si>
    <t>FuelINTRstCyl1 = 1 if any of the following conditions are met</t>
  </si>
  <si>
    <t>FuelCLEnbCyl1 = 0</t>
  </si>
  <si>
    <t>PowerEnrich = 1, and FuelINTCyl1 &lt; 0</t>
  </si>
  <si>
    <t>Ignition coil failure</t>
  </si>
  <si>
    <t>Low-temperature, high-load condition (when reducing fuel)  ：   FuelINTCyl1 &lt; 0  AND  CoolTemp &lt; C_FuelSTFTRichClampCltThrsh  AND VACActual &lt; C_FuelSTFTRichClampVacThrsh</t>
  </si>
  <si>
    <t>Closed-Loop Fuel P-item</t>
  </si>
  <si>
    <t>FuelPropCyl1 = C_FuelPropLowLoadCond * CT_FuelPropO2ErrMult(FO21Error)  if FPropLoLoadCond = 1</t>
  </si>
  <si>
    <t>FuelPropCyl1 = CT_FuelPropRichToLean(MAPExpected, EngineSpeed) *CT_FuelPropO2ErrMult(FO21Error)  if FPropLoLoadCond = 0 AND  FO21Rich = 1</t>
  </si>
  <si>
    <t>FuelPropCyl1 = CT_FuelPropLeanToRich(MAPExpected, EngineSpeed) * CT_FuelPropO2ErrMult(FO21Error)  if FPropLoLoadCond = 0 AND FO21Rich = 0</t>
  </si>
  <si>
    <t>FPropLoLoadCond</t>
  </si>
  <si>
    <t>FPropLoLoadCond is set to 1  if EngineSpeed &lt; C_FuellLowLoadCondEngSpdThrsh AND MAPAltComp &lt; C_FuellLowLoadCondMAPThrsh</t>
  </si>
  <si>
    <t xml:space="preserve">FPropAddFuelCyl </t>
  </si>
  <si>
    <t>updated until CT_FuelPropMinDuration(EngineSpeed) ends  if FPropLoLoadCond = 0</t>
  </si>
  <si>
    <t>updated real-time if FPropLoLoadCond = 1</t>
  </si>
  <si>
    <t>FPropRichHold</t>
  </si>
  <si>
    <t>activated every time FPropAddFuelCyl =1 begins, lasts for CT_FuelPropRichBiasHoldTimeGain(EngineSpeed)*FuelINTDlyCyl1</t>
  </si>
  <si>
    <t>Closed-Loop Fuel I-Term</t>
  </si>
  <si>
    <t>FuelINTCyl1 + 1 if FO21FiltRich = 0  once FuelINTDlyPass is set to 1</t>
  </si>
  <si>
    <t>FuelINTCyl1 - 1 if FO21FiltRich = 1  once FuelINTDlyPass is set to 1</t>
  </si>
  <si>
    <t>FuelINTDlyCyl1 = CT_FuelCLIntLearningDelay(EngineSpeed) * CT_FuelCLIntDelayO2ErrMult(FO21Error)</t>
  </si>
  <si>
    <t>FuelINTDlyPass</t>
  </si>
  <si>
    <t>set to 1 once timer for FuelINTDlyCyl1 ends,  timer only updated when FPropRichHold = 0</t>
  </si>
  <si>
    <t>C_FuelSTFuelTrimMin</t>
  </si>
  <si>
    <t>constrain min of FuelINTCyl1</t>
  </si>
  <si>
    <t>C_FuelSTFuelTrimMax</t>
  </si>
  <si>
    <t>constrain max of FuelINTCyl1</t>
  </si>
  <si>
    <t>C_FuelSTFuelTrimMaxPE</t>
  </si>
  <si>
    <t>constrain max of FuelINTCyl1 if PowerEnrich = 1</t>
  </si>
  <si>
    <t>Transient Fuel</t>
  </si>
  <si>
    <t>TPSIncreaseFlag = (TPS &gt; TPSPrev)</t>
  </si>
  <si>
    <t>TPSDelta =  |TPS - TPSPrev|</t>
  </si>
  <si>
    <t>TPSFiltAE = ApplyFILT_1stOrderLag_usp(TPSFiltAE,TPS,C_AETPSIncFiltCoef);  if TPSIncreaseFlag = 1</t>
  </si>
  <si>
    <t>TPSFiltDE = ApplyFILT_1stOrderLag_usp(TPSFiltDE,TPS, C_DETPSIncFiltCoef);  if TPSIncreaseFlag = 1</t>
  </si>
  <si>
    <t>TPSFiltAE = ApplyFILT_1stOrderLag_usp(TPSFiltAE,TPS,C_AETPSDecFiltCoef);   if TPSIncreaseFlag = 0</t>
  </si>
  <si>
    <t>TPSFiltDE = ApplyFILT_1stOrderLag_usp(TPSFiltDE,TPS, C_DETPSDecFiltCoef);   if TPSIncreaseFlag = 0</t>
  </si>
  <si>
    <t>TPSDiffAE = TPS - TPSFiltAE</t>
  </si>
  <si>
    <t>TPSDiffDE = TPSFiltDE - TPS</t>
  </si>
  <si>
    <t>AccEnrich = (TPSDiffAE &gt; C_AEEnableDltTPSThresh) AND (TPSIncreaseFlag = 1)</t>
  </si>
  <si>
    <t>DecEnlean = (TPSDiffDE &gt; C_DEEnableDltTPSThresh)  AND (TPSIncreaseFlag = 0) AND (EngineSpeed &gt; C_DEEnableEngSpdThresh)</t>
  </si>
  <si>
    <t>DeltaFuelCyl1 = |BaseFuelMassCyl1 - BaseFMPrevCyl1|</t>
  </si>
  <si>
    <r>
      <t xml:space="preserve">AEFuelCyl1 = </t>
    </r>
    <r>
      <rPr>
        <u/>
        <sz val="11"/>
        <color theme="1"/>
        <rFont val="Malgun Gothic"/>
        <charset val="134"/>
      </rPr>
      <t xml:space="preserve">DeltaFuelCyl1 * CT_AEDeltaFuelMultBase(DeltaFuelCyl1) * CT_AEDeltaFuelMultSpeedLoad(MAPExpected, EngineSpeed) * CT_AEDeltaFuelMultCoolTemp(CoolTemp) 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AEFuelCyl1 * AEDecayFactor</t>
    </r>
  </si>
  <si>
    <t>AEDecayFactor = CT_AccEnrichDecayFactorEngSpd(EngineSpeed) * CT_AccEnrichDecayFactorCoolTemp(CoolTemp)</t>
  </si>
  <si>
    <t>AEFuelCyl1 will be reset to 0 if (TPSIncreaseFlag = 0) AND (TPSDelta &gt; C_AECutoffDltTPSThresh)</t>
  </si>
  <si>
    <r>
      <t xml:space="preserve">DEFuelCyl1 = </t>
    </r>
    <r>
      <rPr>
        <u/>
        <sz val="11"/>
        <color theme="1"/>
        <rFont val="Malgun Gothic"/>
        <charset val="134"/>
      </rPr>
      <t>DeltaFuelCyl1 * CT_DEDeltaFuelMultBase(DeltaFuelCyl1) * CT_DEDeltaFuelMultSpeedLoad(MAPExpected, EngineSpeed) * CT_DEDeltaFuelMultCoolTemp(CoolTemp)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DEFuelCyl1 * DEDecayFactor</t>
    </r>
  </si>
  <si>
    <t>DEDecayFactor = CT_DecEnleanDecayFactorEngSpd(EngineSpeed) * CT_DecEnleanDecayFactorCoolTemp(CoolTemp)</t>
  </si>
  <si>
    <t>DEFuelCyl1 will be reset to 0 if (TPSIncreaseFlag = 1) AND (TPSDelta &gt; C_DECutoffDltTPSThresh)</t>
  </si>
  <si>
    <t>TranFuelDltCyl = AEFuelCyl1 -  DEFuelCyl1    if (C_TransientFuelEnable = 1)</t>
  </si>
  <si>
    <t>Injection Pulse Width Calculation</t>
  </si>
  <si>
    <t>BaseFuelMassCyl1 = AirPerCyl1 / AFRFinal</t>
  </si>
  <si>
    <t>BaseFPWCyl1 = (BaseFuelMassCyl1 + TranFuelDltCyl1) / InjectorFlow * 1000</t>
  </si>
  <si>
    <r>
      <t xml:space="preserve">FPWClCorrCyl1 = Refer to </t>
    </r>
    <r>
      <rPr>
        <sz val="11"/>
        <color theme="5" tint="-0.25"/>
        <rFont val="Malgun Gothic"/>
        <charset val="134"/>
      </rPr>
      <t>Closed-Loop Fuel Correction on Injector Pulse Width</t>
    </r>
  </si>
  <si>
    <t>FPWClCorrCylx = FPWClCorrCyl1 * VECylx / VECyl1   if x &gt; 1</t>
  </si>
  <si>
    <t>FinalFPWCyl1 = CT_FPWCorrFactorForFPVolt(IGNVolt) * CT_FPWCorrFactorForFuelPressure_XXX(FuelPressureRelative, MAPExpected)</t>
  </si>
  <si>
    <t>C_FPWMinThresh</t>
  </si>
  <si>
    <t>constrain min of FinalFPWCyl1</t>
  </si>
  <si>
    <t>C_FPWMaxThresh</t>
  </si>
  <si>
    <t>constrain max of FinalFPWCyl1</t>
  </si>
  <si>
    <t>C_FPWIgnoreThresh</t>
  </si>
  <si>
    <t>force FinalFPWCyl1 to 0 if less than C_FPWIgnoreThresh</t>
  </si>
  <si>
    <t>TranFuelDltCyl</t>
  </si>
  <si>
    <r>
      <t xml:space="preserve">Transient fuel compensation (refer to </t>
    </r>
    <r>
      <rPr>
        <sz val="11"/>
        <color theme="5" tint="-0.25"/>
        <rFont val="Malgun Gothic"/>
        <charset val="134"/>
      </rPr>
      <t>Transient Fuel</t>
    </r>
    <r>
      <rPr>
        <sz val="11"/>
        <rFont val="Malgun Gothic"/>
        <charset val="134"/>
      </rPr>
      <t>).</t>
    </r>
  </si>
  <si>
    <r>
      <t xml:space="preserve">FuelConsump  = 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 *  (InjectorFlow / 1000) * EngineSpeed * 120 </t>
    </r>
  </si>
  <si>
    <t>Fuel Cut-off</t>
  </si>
  <si>
    <t>FCOHiEngSpd</t>
  </si>
  <si>
    <t>1:  EngineSpeed &gt; C_HighEngSpdFCOThreshHi</t>
  </si>
  <si>
    <t>0:  EngineSpeed &lt; C_HighEngSpdFCOThreshLo</t>
  </si>
  <si>
    <t>FuelCutOff</t>
  </si>
  <si>
    <t>halt fuel supply</t>
  </si>
  <si>
    <t>SparkCutOff</t>
  </si>
  <si>
    <t>stop the engine's ignition system</t>
  </si>
  <si>
    <t>C_IGNOff_Through_Spark</t>
  </si>
  <si>
    <t>1: engine shutdown through ignition system cutoff and  fuel supply cutoff 0:  engine shutdown only through fuel supply cutoff</t>
  </si>
  <si>
    <t>FCVPS</t>
  </si>
  <si>
    <t>DesireFCVPS = CT_FCVPS_XX_ParkPstn(CoolTemp)  * CT_FCVPS_Baro_CorrFactor_XX(Baro)   * CT_FCVPS_FP_CorrFactor_XX(FuelPressureRelative) * FUEL_BLM_FCV      if (FCV_RefToothCount &lt; C_FCVMotorParkDelay)    XX = NG or LPG</t>
  </si>
  <si>
    <t>DesireFCVPS = CT_DesireFCVPS_XX(FuelConsump, AirFlowCyl2)  * CT_FCVPS_Baro_CorrFactor_XX(Baro)   * CT_FCVPS_FP_CorrFactor_XX(FuelPressureRelative) * FUEL_BLM_FCV     if (FCV_RefToothCount &gt; C_FCVMotorParkDelay)    XX = NG or LPG</t>
  </si>
  <si>
    <t>BLM</t>
  </si>
  <si>
    <t>BLM_RPM_DeltaMet = BLM_EngSpeedDelta&lt; C_BLM_EngSpeedDelta</t>
  </si>
  <si>
    <t>BLM_AirFlowDeltaMet = BLM_AirFlowDelta &lt; C_BLM_AirFlowDelta</t>
  </si>
  <si>
    <t>BLM_LrnAllowed  = 1  if all following conditons met</t>
  </si>
  <si>
    <t>C_BLM_Enb = 1</t>
  </si>
  <si>
    <t>FuelCLEnbCyl = 1</t>
  </si>
  <si>
    <t>CoolTemp &gt; C_BLM_CoolTempMin</t>
  </si>
  <si>
    <t>CoolTemp &lt; C_BLM_CoolTempMax</t>
  </si>
  <si>
    <t>BLM_RPM_DeltaMet = 1</t>
  </si>
  <si>
    <t>BLM_AirFlowDeltaMet = 1</t>
  </si>
  <si>
    <t>EngineSpeed &gt; C_BLM_EngSpeedMin</t>
  </si>
  <si>
    <t>EngineSpeed &lt; C_BLM_EngSpeedMax</t>
  </si>
  <si>
    <t>AirFlowCyl2 &gt; C_BLM_AirFlowMin</t>
  </si>
  <si>
    <t>AirFlowCyl2 &lt; C_BLM_AirFlowMax</t>
  </si>
  <si>
    <t>MAPDfltUsed = 0</t>
  </si>
  <si>
    <t>CLT_DefaultInUse = 0</t>
  </si>
  <si>
    <t>TPSDfltUsed = 0</t>
  </si>
  <si>
    <t>IATDfltUsed = 0</t>
  </si>
  <si>
    <t>No O2 heater fault</t>
  </si>
  <si>
    <t>BLM_LrnActive = 1  if all following conditons met</t>
  </si>
  <si>
    <t>BLM_LrnAllowed = 1</t>
  </si>
  <si>
    <t>FuelINTCyl is not 0</t>
  </si>
  <si>
    <t>BLM_Updated = 0</t>
  </si>
  <si>
    <t>BLM_CellChangeLrnDly = 0</t>
  </si>
  <si>
    <t>A CT_BLM_LrnDelay(FuelINTCyl)  delay passed after previous learning</t>
  </si>
  <si>
    <t>BLM_Cell_XX -= C_BLM_LrnStep     if (FuelINTCyl &gt; C_BLM_LrnRichThrsh) AND (BLM_LrnActive = 1) AND (FO2Rich = RICH)       XX = NG or LPG</t>
  </si>
  <si>
    <t>BLM_Cell_XX += C_BLM_LrnStep    if (FuelINTCyl &lt; C_BLM_LrnLeanThrsh) AND (BLM_LrnActive = 1) AND (FO2Rich = LEAN)      XX = NG or LPG</t>
  </si>
  <si>
    <t xml:space="preserve">C_BLM_LrnMax </t>
  </si>
  <si>
    <t>C_BLM_LrnMin</t>
  </si>
  <si>
    <t>C_BLM_RowDiffMax</t>
  </si>
  <si>
    <t>CT_BLM_ColDiffMax</t>
  </si>
  <si>
    <t>EngSpdState = (EngineSpeed &gt; EngSpdOld1)</t>
  </si>
  <si>
    <r>
      <rPr>
        <sz val="11"/>
        <color theme="1"/>
        <rFont val="Malgun Gothic"/>
        <charset val="134"/>
      </rPr>
      <t>IdlEngSpdHigh = (</t>
    </r>
    <r>
      <rPr>
        <u/>
        <sz val="11"/>
        <color theme="1"/>
        <rFont val="Malgun Gothic"/>
        <charset val="134"/>
      </rPr>
      <t>EngineSpeed &gt; IdlDsrdEngSpd</t>
    </r>
    <r>
      <rPr>
        <sz val="11"/>
        <color theme="1"/>
        <rFont val="Malgun Gothic"/>
        <charset val="134"/>
      </rPr>
      <t>)</t>
    </r>
  </si>
  <si>
    <t>IdlEngSpdError = |EngineSpeed - IdlDsrdEngSpd|</t>
  </si>
  <si>
    <t>EngSpdDelta = |EngineSpeed - EngSpdOldx|     (x =  C_EngSpdDeltaCalcNumber)</t>
  </si>
  <si>
    <t>IDLEMode = 0_ClosedLoop   if (EngineState = Run) AND  After a delay C_CLIdleEnableDelay</t>
  </si>
  <si>
    <t>IdlDsrdEngSpdTarget = CT_DesireEngineSpeed[0]    if (PWRGOV_En = 0)</t>
  </si>
  <si>
    <r>
      <t xml:space="preserve">IdlDsrdEngSpdTarget = </t>
    </r>
    <r>
      <rPr>
        <u/>
        <sz val="11"/>
        <color theme="1"/>
        <rFont val="Malgun Gothic"/>
        <charset val="134"/>
      </rPr>
      <t>(CT_DesireEngineSpeed[4] -   CT_DesireEngineSpeed[1]) * PWRGOV_CompTerm</t>
    </r>
    <r>
      <rPr>
        <sz val="11"/>
        <color theme="1"/>
        <rFont val="Malgun Gothic"/>
        <charset val="134"/>
      </rPr>
      <t xml:space="preserve"> +   </t>
    </r>
    <r>
      <rPr>
        <u/>
        <sz val="11"/>
        <color theme="1"/>
        <rFont val="Malgun Gothic"/>
        <charset val="134"/>
      </rPr>
      <t>CT_DesireEngineSpeed[1]</t>
    </r>
    <r>
      <rPr>
        <sz val="11"/>
        <color theme="1"/>
        <rFont val="Malgun Gothic"/>
        <charset val="134"/>
      </rPr>
      <t xml:space="preserve">    if (PWRGOV_En = 0)</t>
    </r>
  </si>
  <si>
    <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C_DesireSpeedIncreaseStepFactor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C_DesireSpeedIncreaseStepMin)</t>
    </r>
    <r>
      <rPr>
        <sz val="11"/>
        <color theme="1"/>
        <rFont val="Malgun Gothic"/>
        <charset val="134"/>
      </rPr>
      <t xml:space="preserve">      if (IdlDsrdEngSpdTarget &gt;  IdlDsrdEngSpd)</t>
    </r>
  </si>
  <si>
    <t>IdlDsrdEngSpd += IdlDsrdEngSpdStep             if (IdlDsrdEngSpdTarget &gt;  IdlDsrdEngSpd)</t>
  </si>
  <si>
    <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C_DesireSpeedDecreaseStepFactor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C_DesireSpeedDecreaseStepMin)</t>
    </r>
    <r>
      <rPr>
        <sz val="11"/>
        <color theme="1"/>
        <rFont val="Malgun Gothic"/>
        <charset val="134"/>
      </rPr>
      <t xml:space="preserve">     if (IdlDsrdEngSpdTarget &lt;  IdlDsrdEngSpd)</t>
    </r>
  </si>
  <si>
    <t>IdlDsrdEngSpd -= IdlDsrdEngSpdStep              if (IdlDsrdEngSpdTarget &lt;  IdlDsrdEngSpd)</t>
  </si>
  <si>
    <t>Once IDLEMode = 0,  IdlDsrdEngSpd is initialized by EngineSpeed</t>
  </si>
  <si>
    <r>
      <t>IdlPropTerm = CT_IdlePropEngSpdHigh_EX(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C_IdlePropEngSpdHiDeadBand</t>
    </r>
    <r>
      <rPr>
        <sz val="11"/>
        <color theme="1"/>
        <rFont val="Malgun Gothic"/>
        <charset val="134"/>
      </rPr>
      <t>)    if (IdlEngSpdHigh = 1)</t>
    </r>
  </si>
  <si>
    <r>
      <t>IdlPropTerm = CT_IdlePropEngSpdLow_EX(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C_IdlePropEngSpdLoDeadBand</t>
    </r>
    <r>
      <rPr>
        <sz val="11"/>
        <color theme="1"/>
        <rFont val="Malgun Gothic"/>
        <charset val="134"/>
      </rPr>
      <t>)    if (IdlEngSpdHigh = 0)</t>
    </r>
  </si>
  <si>
    <t>IdlINTDelta = CT_IdleIntGainEngSpdHigh_EX(MAPExpAltCmpd, IdlEngSpdError) / C_IdleIntDltRange    if (IdlEngSpdHigh = 1)</t>
  </si>
  <si>
    <t>IdlINTTerm -= IdlINTDelta    if (IdlEngSpdHigh = 1)</t>
  </si>
  <si>
    <t>IdlINTDelta = CT_IdleIntGainEngSpdLow_EX(MAPExpAltCmpd, IdlEngSpdError) / C_IdleIntDltRange    if (IdlEngSpdHigh = 0)</t>
  </si>
  <si>
    <t>IdlINTTerm += IdlINTDelta    if (IdlEngSpdHigh = 0)</t>
  </si>
  <si>
    <t>SpdCntlDervEnb = SpdCntlDervLoopCnt &gt; C_SpdCntrlDerivInterval</t>
  </si>
  <si>
    <t>pseudo-variable</t>
  </si>
  <si>
    <r>
      <t>IdlDerivHiMet</t>
    </r>
    <r>
      <rPr>
        <sz val="11"/>
        <color theme="1"/>
        <rFont val="Malgun Gothic"/>
        <charset val="134"/>
      </rPr>
      <t xml:space="preserve"> = (SpdCntlDervEnb = 1) AND (EngSpdState = 1)  AND (EngSpdDelta &gt; C_IdleDerivEngSpdUpDeltaDeadBand)  AND  (IdlEngSpdHigh = 1) AND (IdlEngSpdError &gt;= C_IdleDerivEngSpdHiDeadBand)</t>
    </r>
  </si>
  <si>
    <r>
      <t>IdlDerivLoMet</t>
    </r>
    <r>
      <rPr>
        <sz val="11"/>
        <color theme="1"/>
        <rFont val="Malgun Gothic"/>
        <charset val="134"/>
      </rPr>
      <t xml:space="preserve"> = (SpdCntlDervEnb = 1) AND (EngSpdState =0)  AND (EngSpdDelta &gt; C_IdleDerivEngSpdDwnDeltaDeadBand)  AND  (IdlEngSpdHigh = 0) AND (IdlEngSpdError &gt;= C_IdleDerivEngSpdLoDeadBand)</t>
    </r>
  </si>
  <si>
    <t>IdlDerivTerm = -CT_IdleDerivEngSpdHigh_EX(MAPExpAltCmpd, EngSpdDelta)    if (IdlDerivHiMet = 1)</t>
  </si>
  <si>
    <t>IdlDerivTerm = CT_IdleDerivEngSpdLow_EX(MAPExpAltCmpd, EngSpdDelta)    if (IdlDerivLoMet = 1)</t>
  </si>
  <si>
    <t>IdlDerivTermEnh = CT_IdleDerivEngSpdHighEnh(MAPExpAltCmpd, EngSpdDelta)  if (C_SpeedControlDerivEnhanced = 1)  AND (IdlDerivHiMet = 1)</t>
  </si>
  <si>
    <t>IdlDerivTermEnh = CT_IdleDerivEngSpdLowEnh(MAPExpAltCmpd, EngSpdDelta)   if (C_SpeedControlDerivEnhanced = 1)  AND (IdlDerivLoMet = 1)</t>
  </si>
  <si>
    <t>IdlINTTerm += IdlDerivTerm    if (C_SpeedControlIntDerivLearnning = 1)</t>
  </si>
  <si>
    <t>IdleFlow = IdlPropTerm + IdlINTTerm + IdlDerivTermEnh    if (C_SpeedControlIntDerivLearnning = 1)</t>
  </si>
  <si>
    <t>IdleFlow = IdlPropTerm + IdlINTTerm + IdlDerivTerm + IdlDerivTermEnh    if (C_SpeedControlIntDerivLearnning = 0)</t>
  </si>
  <si>
    <t>DsrdThrFlow = (ThrFlowAtTPSMax - ThrFlowAtTPSMin) * IdleFlow + ThrFlowAtTPSMin</t>
  </si>
  <si>
    <r>
      <t>ThrFlowAtTPSMax = CT_ThrottleFlow(</t>
    </r>
    <r>
      <rPr>
        <u/>
        <sz val="11"/>
        <color theme="1"/>
        <rFont val="Malgun Gothic"/>
        <charset val="134"/>
      </rPr>
      <t>100</t>
    </r>
    <r>
      <rPr>
        <sz val="11"/>
        <color theme="1"/>
        <rFont val="Malgun Gothic"/>
        <charset val="134"/>
      </rPr>
      <t>)</t>
    </r>
  </si>
  <si>
    <r>
      <t>ThrFlowAtTPSMin = CT_ThrottleFlow(</t>
    </r>
    <r>
      <rPr>
        <u/>
        <sz val="11"/>
        <color theme="1"/>
        <rFont val="Malgun Gothic"/>
        <charset val="134"/>
      </rPr>
      <t>C_TPSSpdCtrlMinimum</t>
    </r>
    <r>
      <rPr>
        <sz val="11"/>
        <color theme="1"/>
        <rFont val="Malgun Gothic"/>
        <charset val="134"/>
      </rPr>
      <t>)</t>
    </r>
  </si>
  <si>
    <t>DesireTPS = CT_ThrottleFlow_Reverse(DsrdThrFlow)</t>
  </si>
  <si>
    <r>
      <rPr>
        <sz val="11"/>
        <color theme="1"/>
        <rFont val="Malgun Gothic"/>
        <charset val="134"/>
      </rPr>
      <t>EngSpdSAGovDelta = |</t>
    </r>
    <r>
      <rPr>
        <u/>
        <sz val="11"/>
        <color theme="1"/>
        <rFont val="Malgun Gothic"/>
        <charset val="134"/>
      </rPr>
      <t>EngineSpeed - EngSpdOldx|</t>
    </r>
    <r>
      <rPr>
        <sz val="11"/>
        <color theme="1"/>
        <rFont val="Malgun Gothic"/>
        <charset val="134"/>
      </rPr>
      <t xml:space="preserve">     (x =  C_EngSpdDeltaSAGovCalcNumber)</t>
    </r>
  </si>
  <si>
    <t>Closed Loop Ignition Timing Offset</t>
  </si>
  <si>
    <r>
      <t>SAGovPropTerm = - CT_SAGovPropHigh_EX(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1</t>
    </r>
  </si>
  <si>
    <r>
      <rPr>
        <sz val="11"/>
        <color theme="1"/>
        <rFont val="Malgun Gothic"/>
        <charset val="134"/>
      </rPr>
      <t>SAGovPropTerm = CT_SAGovPropLow_EX(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0</t>
    </r>
  </si>
  <si>
    <r>
      <rPr>
        <sz val="11"/>
        <color theme="1"/>
        <rFont val="Malgun Gothic"/>
        <charset val="134"/>
      </rPr>
      <t>SAGovDerivTerm = - CT_SAGovDerivHigh(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 xml:space="preserve">EngSpdState = 1)  AND (EngSpdSAGovDelta &gt; C_SAGovDerivUpDeltaDeadBand) AND (IdlEngSpdHigh = 1) AND (IdlEngSpdError &gt;= C_SAGovDerivHiDeadBand) </t>
    </r>
  </si>
  <si>
    <r>
      <rPr>
        <sz val="11"/>
        <color theme="1"/>
        <rFont val="Malgun Gothic"/>
        <charset val="134"/>
      </rPr>
      <t>SAGovDerivTerm = CT_SAGovDerivLow(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>EngSpdState = 0)  AND (EngSpdSAGovDelta &gt; C_SAGovDerivDwnDeltaDeadBand) AND (IdlEngSpdHigh = 0) AND (IdlEngSpdError &gt;= C_SAGovDerivLoDeadBand)</t>
    </r>
  </si>
  <si>
    <t>State</t>
  </si>
  <si>
    <t xml:space="preserve">ramp speed </t>
  </si>
  <si>
    <t>once D deactivated,  SAGovDerivTerm gradually ramp to 0</t>
  </si>
  <si>
    <t>C_SAGovDerivRampDwnStep or C_SAGovDerivRampDwnStep per C_SAGovDerivRampInterval</t>
  </si>
  <si>
    <t>SAGovCompositeTerm = SAGovPropTerm  + SAGovDerivTerm</t>
  </si>
  <si>
    <t>SAGovernor = C_SAGovAngleCntrlRange * SAGovCompositeTerm</t>
  </si>
  <si>
    <t>Ignition Timing Calculation</t>
  </si>
  <si>
    <t>IDLECondMet = (TPS &lt; C_IdleEnableTPSThresh)  AND (EngineSpeed &lt; C_IdleEnableEngSpdThresh)    indicates low load</t>
  </si>
  <si>
    <t>SAMain = CT_SACrankMain(CoolTemp) + CT_SACrankBaroOffset(Baro)   if (SparkMode = 2_CRANK)</t>
  </si>
  <si>
    <r>
      <rPr>
        <sz val="11"/>
        <color theme="1"/>
        <rFont val="Malgun Gothic"/>
        <charset val="134"/>
      </rPr>
      <t xml:space="preserve">SAMain = </t>
    </r>
    <r>
      <rPr>
        <u/>
        <sz val="11"/>
        <color theme="1"/>
        <rFont val="Malgun Gothic"/>
        <charset val="134"/>
      </rPr>
      <t>CT_SAIdleMain(CoolTemp) + CT_SAIdleBattComp(IGNVolt) + CT_SAIdleRPMoffset(EngineSpeed)</t>
    </r>
    <r>
      <rPr>
        <sz val="11"/>
        <color theme="1"/>
        <rFont val="Malgun Gothic"/>
        <charset val="134"/>
      </rPr>
      <t xml:space="preserve"> +  CT_SAIdleDyn(</t>
    </r>
    <r>
      <rPr>
        <u/>
        <sz val="11"/>
        <color theme="1"/>
        <rFont val="Malgun Gothic"/>
        <charset val="134"/>
      </rPr>
      <t>IdlDsrdEngSpd - EngineSpeed</t>
    </r>
    <r>
      <rPr>
        <sz val="11"/>
        <color theme="1"/>
        <rFont val="Malgun Gothic"/>
        <charset val="134"/>
      </rPr>
      <t>)   if (SparkMode = 3_RUN)  AND (IDLECondMet = 1) AND after a delay time (C_SPRK_t_CtoIDLE_DelayTime or C_SPRK_t_RtoIDLE_DelayTime)</t>
    </r>
  </si>
  <si>
    <t>SAMain = CT_SparkAdvanceMain_XXX(EngineSpeed, MAPExpected) + CT_SAIntakeAirTempOfst(IntakeAirTemp, MAPExpected) + CT_SACoolTempOfst(CoolTemp, MAPExpected)    if (SparkMode = 3_RUN)  AND (IDLECondMet = 0)</t>
  </si>
  <si>
    <t>SAGlobal ramp to SAMain</t>
  </si>
  <si>
    <t>Crank -&gt; Run</t>
  </si>
  <si>
    <t xml:space="preserve">C_SACrankExitRampStep  per C_SACrankExitRampInterval </t>
  </si>
  <si>
    <t>Run</t>
  </si>
  <si>
    <t>C_SANormalRampUpStep or C_SANormalRampDownStep per 15.6ms</t>
  </si>
  <si>
    <t>SAGovMinLimit = CT_SAGovMinLimit_XXX(EngineSpeed, MAPExpected)</t>
  </si>
  <si>
    <t>SAGovMaxLimit = CT_SAGovMaxLimit_XXX(EngineSpeed, MAPExpected)</t>
  </si>
  <si>
    <r>
      <rPr>
        <sz val="11"/>
        <color theme="1"/>
        <rFont val="Malgun Gothic"/>
        <charset val="134"/>
      </rPr>
      <t xml:space="preserve">SAFinalCyl1 = </t>
    </r>
    <r>
      <rPr>
        <u/>
        <sz val="11"/>
        <color theme="1"/>
        <rFont val="Malgun Gothic"/>
        <charset val="134"/>
      </rPr>
      <t>SAGlobal + SAGovernor</t>
    </r>
    <r>
      <rPr>
        <sz val="11"/>
        <color theme="1"/>
        <rFont val="Malgun Gothic"/>
        <charset val="134"/>
      </rPr>
      <t xml:space="preserve">     constrained by SAGovMinLimit and SAGovMaxLimit</t>
    </r>
  </si>
  <si>
    <t>SAFinalCylx = SAFinalCyl1 + CT_SparkAdvanceCylxOffset2Main(EngineSpeed, MAPExpected)    x = 2, 3, 4.....</t>
  </si>
  <si>
    <t>SAFinalDlvCylx = SAFinalCylx + C_TargetWheelErrorOfst    constrained by SAGovMinLimit and SAGovMaxLimit   x =1, 2, 3, 4.....</t>
  </si>
  <si>
    <t>Ignition Dwell Time Calculation</t>
  </si>
  <si>
    <t>SparkDwell = C_SparkPowerOffDwell     if EngineState = 5_ShutDownDelay</t>
  </si>
  <si>
    <t>SparkDwell = CT_SparkDwellMain(EngineSpeed, IGNVolt) * CT_SparkDwellIntakeAirTempMult(IntakeAirTemp)     if Runtime &lt; C_SparkDwellIATMultRumTimeThrsh</t>
  </si>
  <si>
    <t>SparkDwell = CT_SparkDwellMain(EngineSpeed, IGNVolt)     if Runtime &gt; C_SparkDwellIATMultRumTimeThrsh</t>
  </si>
  <si>
    <t>BSTPHi2Dsr = BSTPActual &gt; BSTPDsrd</t>
  </si>
  <si>
    <t>BSTPError = |BSTPActual - BSTPDsrd|</t>
  </si>
  <si>
    <t>BSTPDsrd = CT_BSTPDsrd(EngineSpeed, DsrdThrFlow) * CT_BSTPDsrdIATCorr(IntakeAirTemp)</t>
  </si>
  <si>
    <r>
      <t>BSTPPropTerm = CT_BSTPPropHigh(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1)</t>
    </r>
  </si>
  <si>
    <r>
      <t>BSTPPropTerm = CT_BSTPPropLow(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0)</t>
    </r>
  </si>
  <si>
    <t>BSTPINTDelta = CT_BSTPIntGainHigh(BSTPError)    if (BSTPHi2Dsr = 1)</t>
  </si>
  <si>
    <t>BSTPINTTerm -= BSTPINTDelta     if (BSTPHi2Dsr = 1)</t>
  </si>
  <si>
    <t>BSTPINTDelta = CT_BSTPIntGainLow(BSTPError)      if (BSTPHi2Dsr = 0)</t>
  </si>
  <si>
    <t>BSTPINTTerm += BSTPINTDelta       if (BSTPHi2Dsr = 0)</t>
  </si>
  <si>
    <t>BSTPCLTerm = BSTPPropTerm + BSTPINTTerm</t>
  </si>
  <si>
    <r>
      <t>BSTPOLTerm = CT_BSTP_OL(</t>
    </r>
    <r>
      <rPr>
        <u/>
        <sz val="11"/>
        <color theme="1"/>
        <rFont val="Malgun Gothic"/>
        <charset val="134"/>
      </rPr>
      <t>AirFlowCyl2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BSTPDsrd</t>
    </r>
    <r>
      <rPr>
        <sz val="11"/>
        <color theme="1"/>
        <rFont val="Malgun Gothic"/>
        <charset val="134"/>
      </rPr>
      <t>)</t>
    </r>
  </si>
  <si>
    <t>BSTPBstTotal = BSTPOLTerm + BSTPCLTerm</t>
  </si>
  <si>
    <t>BSTP_DC = 100% - BSTPBstTotal</t>
  </si>
  <si>
    <t>Monitor variables</t>
  </si>
  <si>
    <t>BSTPDsrd</t>
  </si>
  <si>
    <t>Desired boost pressure target in control loop.</t>
  </si>
  <si>
    <t>BSTPError</t>
  </si>
  <si>
    <t>Error between desired and actual boost pressure.</t>
  </si>
  <si>
    <t>BSTPHi2Dsr</t>
  </si>
  <si>
    <t>Flag for actual boost pressure higher than desired.</t>
  </si>
  <si>
    <t>BSTPPropTerm</t>
  </si>
  <si>
    <t>Proportional term in closed loop control.</t>
  </si>
  <si>
    <t>BSTPINTDelta</t>
  </si>
  <si>
    <t>Accumulated value for current cycle in integral calculation.</t>
  </si>
  <si>
    <t>BSTPINTTerm</t>
  </si>
  <si>
    <t>Integral term in closed loop control.</t>
  </si>
  <si>
    <t>BSTPCLTerm</t>
  </si>
  <si>
    <t>Closed loop term from proportional and integral control.</t>
  </si>
  <si>
    <t>BSTPOLTerm</t>
  </si>
  <si>
    <t>Open loop control term.</t>
  </si>
  <si>
    <t>BSTPBstTotal</t>
  </si>
  <si>
    <t>Total boost percentage (0% = no boost, 100% = full boost).</t>
  </si>
  <si>
    <t>BSTP_DC</t>
  </si>
  <si>
    <t>Waste gate actuator duty cycle (0% = fully closed, 100% = fully open).</t>
  </si>
  <si>
    <t>Calibration variables</t>
  </si>
  <si>
    <t>C_BSTP_CL_Enb</t>
  </si>
  <si>
    <t>Enable flag for waste gate closed loop control.</t>
  </si>
  <si>
    <t>C_BSTPIntDeadBand</t>
  </si>
  <si>
    <t>Integral dead band range where no action occurs.</t>
  </si>
  <si>
    <t>C_BSTPPropDeadBand</t>
  </si>
  <si>
    <t>Proportional dead band range where no adjustment occurs.</t>
  </si>
  <si>
    <t>CT_BSTPPropHigh</t>
  </si>
  <si>
    <t>Lookup table used when actual pressure is higher than desired pressure.</t>
  </si>
  <si>
    <t>CT_BSTPPropLow</t>
  </si>
  <si>
    <t>Lookup table used when actual pressure is lower than desired pressure.</t>
  </si>
  <si>
    <t>CT_BSTPIntGainHigh</t>
  </si>
  <si>
    <t>Lookup table used when actual pressure is higher than desired pressure (for integral gain).</t>
  </si>
  <si>
    <t>CT_BSTPIntGainLow</t>
  </si>
  <si>
    <t>Lookup table used when actual pressure is lower than desired pressure (for integral gain).</t>
  </si>
  <si>
    <t>CT_BSTPDsrd</t>
  </si>
  <si>
    <t>Desired boost pressure target.</t>
  </si>
  <si>
    <t>CT_BSTPDsrdIATCorr</t>
  </si>
  <si>
    <t>Correction factor for desired boost pressure based on intake air temperature.</t>
  </si>
  <si>
    <t>CT_BSTP_OL</t>
  </si>
  <si>
    <t>Open-loop control lookup table with inverse logic to the waste gate duty cycle.</t>
  </si>
  <si>
    <t>C_BSTP_PWM_Freq</t>
  </si>
  <si>
    <t>PWM frequency for waste gate actuator control.</t>
  </si>
  <si>
    <t>Calibration Steps</t>
  </si>
  <si>
    <t>Set C_BSTP_CL_Enb to 0</t>
  </si>
  <si>
    <t>Apply a load at a AirFlowCyl2 row, modify the entire row value from 0 to 100, map relationship BSTPBstTotal vs BSTPActual</t>
  </si>
  <si>
    <t>Fill BSTPBstTotal values in table at corresponding BSTPDsrd column</t>
  </si>
  <si>
    <t>Repeat the above process with different loads to finish all rows</t>
  </si>
  <si>
    <t>volts</t>
  </si>
  <si>
    <t>pct</t>
  </si>
  <si>
    <t>TPS Value</t>
  </si>
  <si>
    <t>Slope</t>
  </si>
  <si>
    <t>Intercept</t>
  </si>
  <si>
    <t>C_FCVPSSlope</t>
  </si>
  <si>
    <t>C_FCVPSZeroInitial</t>
  </si>
  <si>
    <t>TPS</t>
  </si>
  <si>
    <t>C_TPSSlope</t>
  </si>
  <si>
    <t>C_TPSZeroInitialDefault</t>
  </si>
  <si>
    <t>MAP value (KPA)</t>
  </si>
  <si>
    <t>C_MAPSignalConvSlope</t>
  </si>
  <si>
    <t>C_MAPSignalConvIntercept</t>
  </si>
  <si>
    <t>BSTPActual</t>
  </si>
  <si>
    <t>C_BSTPSignalConvSlope</t>
  </si>
  <si>
    <t>C_BSTPSignalConvIntercept</t>
  </si>
  <si>
    <t>ISO 15031-5</t>
  </si>
  <si>
    <t>J1939 DTC</t>
  </si>
  <si>
    <t>Customer</t>
  </si>
  <si>
    <t>Fault Description</t>
  </si>
  <si>
    <t>PCode</t>
  </si>
  <si>
    <t>SPN</t>
  </si>
  <si>
    <t>FMI</t>
  </si>
  <si>
    <t>DTC     ON/OFF</t>
  </si>
  <si>
    <t>Monitor Variables</t>
  </si>
  <si>
    <t>Calibration Variables</t>
  </si>
  <si>
    <t>logic relations</t>
  </si>
  <si>
    <t>Count Rate</t>
  </si>
  <si>
    <t>ECU response</t>
  </si>
  <si>
    <r>
      <t>氧传</t>
    </r>
    <r>
      <rPr>
        <sz val="10"/>
        <rFont val="Malgun Gothic"/>
        <charset val="134"/>
      </rPr>
      <t>感器1短接低</t>
    </r>
  </si>
  <si>
    <t>Rehlko</t>
  </si>
  <si>
    <t xml:space="preserve">O2 Sensor 1 Circuit Low </t>
  </si>
  <si>
    <t>0x0131</t>
  </si>
  <si>
    <t>GetDiagO21ShortLoFMITypeAddr()</t>
  </si>
  <si>
    <t>GetDiagO21ShortLoLightTypeAddr()</t>
  </si>
  <si>
    <t>CeDIAG_O2_1_ShortLo</t>
  </si>
  <si>
    <t>D_O21ShortLoLightType</t>
  </si>
  <si>
    <t>D_O21ShortEnb</t>
  </si>
  <si>
    <t>O2_1_ShrtDiagEnb
O2_1_SLFailMet
O2_1_SHFailMet
O2_1_SHFailCount
O2_1_SLFailCount
O2_1_ShrtPassCount</t>
  </si>
  <si>
    <t>D_O21ShortDiagSingalFiltCoef
D_O21ShortDiagIGNVoltThrsh
D_O21ShortDiagCoolTempThrsh
D_O21ShortDiagEnableDelay
D_O21ShortRangeThreshLo
D_O21ShortRangeThreshHi
D_O21ShortLowFailTimeThrsh
D_O21ShortHighFailTimeThrsh
D_O21ShortDiagPassTimeThrsh
D_O21ShortEnb
D_O21ShortLoLightType
D_O21ShortHiLightType
D_O21ShortLoFMIType
D_O21ShortHiFMIType</t>
  </si>
  <si>
    <t>O2_1_ShrtDiagEnb = D_O21ShortEnb AND 
                  (IGNVolt &gt; D_O21ShortDiagIGNVoltThrsh) AND 
                  (Runtime &gt; D_O21ShortDiagEnableDelay) AND 
                  (CoolTemp &gt; D_O21ShortDiagCoolTempThrsh) AND 
                  (FuelCLRstCyl1 == 0) AND 
                  (FuelCutOff == 0) AND 
                  (PowerEnrich == 0)
O2_1_SHFailMet = O2_1_ShrtDiagEnb AND (O2_1_FilteredValue &gt; D_O21ShortRangeThreshHi)
O2_1_SHTestFail = O2_1_SHFailMet AND (O2_1_SHFailCount &gt; D_O21ShortHighFailTimeThrsh)
O2_1_SLFailMet = O2_1_ShrtDiagEnb AND (O2_1_FilteredValue &lt; D_O21ShortRangeThreshLo)
O2_1_SLTestFail = O2_1_SLFailMet AND (O2_1_SLFailCount &gt; D_O21ShortLowFailTimeThrsh)</t>
  </si>
  <si>
    <t>125ms</t>
  </si>
  <si>
    <t>Fuel Closed loop disabled</t>
  </si>
  <si>
    <r>
      <t>氧传</t>
    </r>
    <r>
      <rPr>
        <sz val="10"/>
        <rFont val="Malgun Gothic"/>
        <charset val="134"/>
      </rPr>
      <t>感器1短接高</t>
    </r>
  </si>
  <si>
    <t>O2 Sensor 1 Circuit High</t>
  </si>
  <si>
    <t>0x0132</t>
  </si>
  <si>
    <t>GetDiagO21ShortHiFMITypeAddr()</t>
  </si>
  <si>
    <t>GetDiagO21ShortHiLightTypeAddr()</t>
  </si>
  <si>
    <t>CeDIAG_O2_1_ShortHi</t>
  </si>
  <si>
    <t>D_O21ShortHiLightType</t>
  </si>
  <si>
    <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1短接低</t>
    </r>
  </si>
  <si>
    <t>O2 Sensor 1 Heater Circuit Low</t>
  </si>
  <si>
    <t>0x0031</t>
  </si>
  <si>
    <t>GetDiagO2HeaterShortLoFMITypeAddr()</t>
  </si>
  <si>
    <t>GetDiagO2HeaterShortLoLightTypeAddr()</t>
  </si>
  <si>
    <t>CeDIAG_O2H_1_ShortLo</t>
  </si>
  <si>
    <t>D_O2HeaterShortLoLightType</t>
  </si>
  <si>
    <t>D_O2HeaterShortEnb</t>
  </si>
  <si>
    <t>O2HtDiagEnb
O2HtSLTestComp
O2HtSHTestComp
O2HtSLTestFail
O2HtSHTestFail
O2HtSLFailMet
O2HtSHFailMet
O2HtSLFailCount
O2HtSHFailCount
O2HtSLPassCount
O2HtSHPassCount</t>
  </si>
  <si>
    <t>D_O2HeaterShortEnb
D_O2HeaterShortFailThresh
D_O2HeaterShortPassThresh
D_O2HeaterShortLoLightType
D_O2HeaterShortHiLightType
D_O2HeaterShortLoFMIType
D_O2HeaterShortHiFMIType</t>
  </si>
  <si>
    <t>O2HtDiagEnb = OutDiagComEnbKeyOn
O2HtSLFailMet = (Short Circuit to Ground Detected)
O2HtSHFailMet = (Short Circuit to Battery Detected)</t>
  </si>
  <si>
    <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1短接高</t>
    </r>
  </si>
  <si>
    <t>O2 Sensor 1 Heater Circuit High</t>
  </si>
  <si>
    <t>0x0032</t>
  </si>
  <si>
    <t>GetDiagO2HeaterShortHiFMITypeAddr()</t>
  </si>
  <si>
    <t>GetDiagO2HeaterShortHiLightTypeAddr()</t>
  </si>
  <si>
    <t>CeDIAG_O2H_1_ShortHi</t>
  </si>
  <si>
    <t>D_O2HeaterShortHiLightType</t>
  </si>
  <si>
    <r>
      <t>氧传</t>
    </r>
    <r>
      <rPr>
        <sz val="10"/>
        <rFont val="Malgun Gothic"/>
        <charset val="134"/>
      </rPr>
      <t>感器2短接低</t>
    </r>
  </si>
  <si>
    <t xml:space="preserve">Rear O2 Sensor 1 Circuit Low </t>
  </si>
  <si>
    <t>0x0137</t>
  </si>
  <si>
    <t>GetDiagRO21ShortLoFMITypeAddr()</t>
  </si>
  <si>
    <t>GetDiagRO21ShortLoLightTypeAddr()</t>
  </si>
  <si>
    <t>CeDIAG_RO2_1_ShortLo</t>
  </si>
  <si>
    <t>D_RO21ShortLoLightType</t>
  </si>
  <si>
    <t>D_RO21ShortEnb</t>
  </si>
  <si>
    <t>RO2_1_ShrtDiagEnb
RO2_1_SLFailMet
RO2_1_SHFailMet
RO2_1_SHFailCount
RO2_1_SLFailCount
RO2_1_ShrtPassCount</t>
  </si>
  <si>
    <t>D_RO21ShortDiagSingalFiltCoef
D_RO21ShortDiagIGNVoltThrsh
D_RO21ShortDiagCoolTempThrsh
D_RO21ShortDiagEnableDelay
D_RO21ShortRangeThreshLo
D_RO21ShortRangeThreshHi
D_RO21ShortLowFailTimeThrsh
D_RO21ShortHighFailTimeThrsh
D_RO21ShortDiagPassTimeThrsh
D_RO21ShortEnb
D_RO21ShortLoLightType
D_RO21ShortHiLightType
D_RO21ShortLoFMIType
D_RO21ShortHiFMIType</t>
  </si>
  <si>
    <t>RO2_1_ShrtDiagEnb = D_RO21ShortEnb AND 
                  (IGNVolt &gt; D_RO21ShortDiagIGNVoltThrsh) AND 
                  (Runtime &gt; D_RO21ShortDiagEnableDelay) AND 
                  (CoolTemp &gt; D_RO21ShortDiagCoolTempThrsh) AND 
                  (FuelCLRstCyl1 == 0) AND 
                  (FuelCutOff == 0) AND 
                  (PowerEnrich == 0)
RO2_1_SHFailMet = RO2_1_ShrtDiagEnb AND (RO2_1_FilteredValue &gt; D_RO21ShortRangeThreshHi)
RO2_1_SHTestFail = RO2_1_SHFailMet AND (RO2_1_SHFailCount &gt; D_RO21ShortHighFailTimeThrsh)
RO2_1_SLFailMet = RO2_1_ShrtDiagEnb AND (RO2_1_FilteredValue &lt; D_RO21ShortRangeThreshLo)
RO2_1_SLTestFail = RO2_1_SLFailMet AND (RO2_1_SLFailCount &gt; D_RO21ShortLowFailTimeThrsh)</t>
  </si>
  <si>
    <t>No action currently</t>
  </si>
  <si>
    <r>
      <t>氧传</t>
    </r>
    <r>
      <rPr>
        <sz val="10"/>
        <rFont val="Malgun Gothic"/>
        <charset val="134"/>
      </rPr>
      <t>感器2短接高</t>
    </r>
  </si>
  <si>
    <t>Rear O2 Sensor 1 Circuit High</t>
  </si>
  <si>
    <t>0x0138</t>
  </si>
  <si>
    <t>GetDiagRO21ShortHiFMITypeAddr()</t>
  </si>
  <si>
    <t>GetDiagRO21ShortHiLightTypeAddr()</t>
  </si>
  <si>
    <t>CeDIAG_RO2_1_ShortHi</t>
  </si>
  <si>
    <t>D_RO21ShortHiLightType</t>
  </si>
  <si>
    <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2短接到低</t>
    </r>
  </si>
  <si>
    <t>Rear O2 Sensor Heater 1 Circuit Low</t>
  </si>
  <si>
    <t>0x0037</t>
  </si>
  <si>
    <t>GetDiagRO2Heater1ShortLoFMITypeAddr()</t>
  </si>
  <si>
    <t>GetDiagRO2Heater1ShortLoLightTypeAddr()</t>
  </si>
  <si>
    <t>CeDIAG_RO2H_1_ShortLo</t>
  </si>
  <si>
    <t>D_RO2Heater1ShortLoLightType</t>
  </si>
  <si>
    <t>D_RO2Heater1ShortEnb</t>
  </si>
  <si>
    <t>RO2Ht1DiagEnb
RO2Ht1SLTestComp
RO2Ht1SHTestComp
RO2Ht1SLTestFail
RO2Ht1SHTestFail
RO2Ht1SLFailMet
RO2Ht1SHFailMet
RO2Ht1SLFailCount
RO2Ht1SHFailCount
RO2Ht1SLPassCount
RO2Ht1SHPassCount</t>
  </si>
  <si>
    <t>D_RO2Heater1ShortEnb
D_RO2Heater1ShortFailThresh
D_RO2Heater1ShortPassThresh
D_RO2Heater1ShortLoLightType
D_RO2Heater1ShortHiLightType
D_RO2Heater1ShortLoFMIType
D_RO2Heater1ShortHiFMIType</t>
  </si>
  <si>
    <t>No action</t>
  </si>
  <si>
    <r>
      <t>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2短接到高</t>
    </r>
  </si>
  <si>
    <t>Rear O2 Sensor Heater 1 Circuit High</t>
  </si>
  <si>
    <t>0x0038</t>
  </si>
  <si>
    <t>GetDiagRO2Heater1ShortHiFMITypeAddr()</t>
  </si>
  <si>
    <t>GetDiagRO2Heater1ShortHiLightTypeAddr()</t>
  </si>
  <si>
    <t>CeDIAG_RO2H_1_ShortHi</t>
  </si>
  <si>
    <t>D_RO2Heater1ShortHiLightType</t>
  </si>
  <si>
    <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感器1短接低</t>
    </r>
  </si>
  <si>
    <t>Coolant Temperature Sensor 1 Circuit Low</t>
  </si>
  <si>
    <t>0x0117</t>
  </si>
  <si>
    <t>GetDiagCoolTempShortLoFMITypeAddr()</t>
  </si>
  <si>
    <t>GetDiagCoolTempShortLoLightTypeAddr()</t>
  </si>
  <si>
    <t>CeDIAG_CLT_1_ShortLo</t>
  </si>
  <si>
    <t>D_CoolTempShortLoLightType</t>
  </si>
  <si>
    <t>D_CoolTempShortEnb</t>
  </si>
  <si>
    <t>ClTSLFailMet
ClTSHFailMet
ClTOH1FailMet
ClTOH2FailMet
ClTSTDiagEnb
ClTOHDiagEnb
ClTSLTestFail
ClTSHTestFail
ClTOH1TestFail
ClTOH2TestFail
ClTSLFailCount
ClTSLPassCount
ClTSHFailCount
ClTSHPassCount
ClTOH1FailCount
ClTOH1PassCount
ClTOH2FailCount
ClTOH2PassCount</t>
  </si>
  <si>
    <t>D_CoolTempFailTimeThrsh
D_CoolTempPassTimeThrsh
D_CoolTempOH1FailTimeThrsh
D_CoolTempOH1PassTimeThrsh
D_CoolTempOH2FailTimeThrsh
D_CoolTempOH2PassTimeThrsh
D_CoolTempShortRangeThreshHi
D_CoolTempShortRangeThreshLo
D_CoolTempOHDiagRunTimeThrsh
D_CoolTempOH1Thresh
D_CoolTempOH2Thresh
D_CoolTempShortEnb
D_CoolTempShortLoLightType
D_CoolTempShortHiLightType
D_CoolTempOH1LightType
D_CoolTempOH2LightType
D_CoolTempShortLoFMIType
D_CoolTempShortHiFMIType
D_CoolTempOH1FMIType
D_CoolTempOH2FMIType</t>
  </si>
  <si>
    <t>ClTSTDiagEnb = (EngSt_Stall OR EngSt_Crank OR EngSt_Run OR EngSt_KeyOn)
ClTOHDiagEnb = RunTime &gt;= D_CoolTempOHDiagRunTimeThrsh
ClTSLFailMet = (Pct_RawCoolant &lt; D_CoolTempShortRangeThreshLo)
ClTSHFailMet = (Pct_RawCoolant &gt; D_CoolTempShortRangeThreshHi)
ClTOH1FailMet = (CoolTempFilt &gt; D_CoolTempOH1Thresh)
ClTOH2FailMet = (CoolTempFilt &gt; D_CoolTempOH2Thresh)</t>
  </si>
  <si>
    <t xml:space="preserve">
CLT_DefaultInUse activated
if (RunTime &lt; 511) AND (No IAT short Fault)
CoolTemp = IntakeAirTemp + RunTime * C_DefaultCoolTempRunTimeFactor
if (RunTime &gt; 511) OR (IAT short present)
CoolTemp = C_DefaultCoolTemp -  Max( C_DefaultCoolTempRunTimeFactor * (511 - RunTime),  0)</t>
  </si>
  <si>
    <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感器1短接高</t>
    </r>
  </si>
  <si>
    <t>Coolant Temperature Sensor 1 Circuit High</t>
  </si>
  <si>
    <t>0x0118</t>
  </si>
  <si>
    <t>GetDiagCoolTempShortHiFMITypeAddr()</t>
  </si>
  <si>
    <t>GetDiagCoolTempShortHiLightTypeAddr()</t>
  </si>
  <si>
    <t>CeDIAG_CLT_1_ShortHi</t>
  </si>
  <si>
    <t>D_CoolTempShortHiLightType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</si>
  <si>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1超限1</t>
    </r>
  </si>
  <si>
    <t>Coolant Temperature 1 higher than expected 1</t>
  </si>
  <si>
    <t>0x0116</t>
  </si>
  <si>
    <t>GetDiagCoolTempOH1FMITypeAddr()</t>
  </si>
  <si>
    <t>GetDiagCoolTempOH1LightTypeAddr()</t>
  </si>
  <si>
    <t>CeDIAG_CLT_1_HiExp1</t>
  </si>
  <si>
    <t>D_CoolTempOH1LightType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</si>
  <si>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1超限2</t>
    </r>
  </si>
  <si>
    <t>Coolant Temperature 1 higher than expected 2</t>
  </si>
  <si>
    <t>0x0217</t>
  </si>
  <si>
    <t>GetDiagCoolTempOH2FMITypeAddr()</t>
  </si>
  <si>
    <t>GetDiagCoolTempOH2LightTypeAddr()</t>
  </si>
  <si>
    <t>CeDIAG_CLT_1_HiExp2</t>
  </si>
  <si>
    <t>D_CoolTempOH2LightType</t>
  </si>
  <si>
    <r>
      <t>进气温传</t>
    </r>
    <r>
      <rPr>
        <sz val="10"/>
        <rFont val="Malgun Gothic"/>
        <charset val="134"/>
      </rPr>
      <t>感器短接低</t>
    </r>
  </si>
  <si>
    <t>Intake Air Temperature Sensor Circuit Low</t>
  </si>
  <si>
    <t>0x0112</t>
  </si>
  <si>
    <t>GetDiagIntakeAirTempShortLoFMITypeAddr()</t>
  </si>
  <si>
    <t>GetDiagIntakeAirTempShortLoLightTypeAddr()</t>
  </si>
  <si>
    <t>CeDIAG_IAT_ShortLo</t>
  </si>
  <si>
    <t>D_IntakeAirTempShortLoLightType</t>
  </si>
  <si>
    <t>D_IntakeAirTempShortEnb</t>
  </si>
  <si>
    <t>IATSLFailMet
IATSHFailMet
IATOH1FailMet
IATOH2FailMet
IATSTDiagEnb
IATOHDiagEnb
IATSLTestFail
IATSHTestFail
IATOH1TestFail
IATOH2TestFail
IATSLFailCount
IATSLPassCount
IATSHFailCount
IATSHPassCount
IATOH1FailCount
IATOH1PassCount
IATOH2FailCount
IATOH2PassCount</t>
  </si>
  <si>
    <t>D_IntakeAirTempOHDiagRunTimeThrsh
D_IntakeAirTempFailTimeThrsh
D_IntakeAirTempPassTimeThrsh
D_IntakeAirTempOH1FailTimeThrsh
D_IntakeAirTempOH2FailTimeThrsh
D_IntakeAirTempOH1PassTimeThrsh
D_IntakeAirTempOH2PassTimeThrsh
D_IntakeAirTempShortRangeThreshHi
D_IntakeAirTempShortRangeThreshLo
D_IntakeAirTempOH1Thresh
D_IntakeAirTempOH2Thresh
D_IntakeAirTempShortEnb
D_IntakeAirTempShortLoLightType
D_IntakeAirTempShortHiLightType
D_IntakeAirTempOH1LightType
D_IntakeAirTempOH2LightType
D_IntakeAirTempShortLoFMIType
D_IntakeAirTempShortHiFMIType
D_IntakeAirTempOH1FMIType
D_IntakeAirTempOH2FMIType</t>
  </si>
  <si>
    <t>IATSTDiagEnb = (EngSt_Stall OR EngSt_Crank OR EngSt_Run OR EngSt_KeyOn)
IATOHDiagEnb = RunTime &gt;= D_IntakeAirTempOHDiagRunTimeThrsh
IATSLFailMet = RawIAT &lt; D_IntakeAirTempShortRangeThreshLo)
IATSHFailMet = RawIAT &gt; D_IntakeAirTempShortRangeThreshHi
IATOH1FailMet = IntkAirTempFilt &gt; D_IntakeAirTempOH1Thresh
IATOH2FailMet = IntkAirTempFilt &gt; D_IntakeAirTempOH2Thresh</t>
  </si>
  <si>
    <t>IATDfltUsed activated
IntakeAirTemp = Min( CoolTemp, C_IntakeAirTempDefault)</t>
  </si>
  <si>
    <r>
      <t>进气温传</t>
    </r>
    <r>
      <rPr>
        <sz val="10"/>
        <rFont val="Malgun Gothic"/>
        <charset val="134"/>
      </rPr>
      <t>感器短接高</t>
    </r>
  </si>
  <si>
    <t>Intake Air Temperature Sensor Circuit High</t>
  </si>
  <si>
    <t>0x0113</t>
  </si>
  <si>
    <t>GetDiagIntakeAirTempShortHiFMITypeAddr()</t>
  </si>
  <si>
    <t>GetDiagIntakeAirTempShortHiLightTypeAddr()</t>
  </si>
  <si>
    <t>CeDIAG_IAT_ShortHi</t>
  </si>
  <si>
    <t>D_IntakeAirTempShortHiLightType</t>
  </si>
  <si>
    <r>
      <t>进气温</t>
    </r>
    <r>
      <rPr>
        <sz val="10"/>
        <rFont val="Malgun Gothic"/>
        <charset val="134"/>
      </rPr>
      <t>超限1</t>
    </r>
  </si>
  <si>
    <t>Intake Air Temperature higher than expected 1</t>
  </si>
  <si>
    <t>0x0111</t>
  </si>
  <si>
    <t>GetDiagIntakeAirTempOH1FMITypeAddr()</t>
  </si>
  <si>
    <t>GetDiagIntakeAirTempOH1LightTypeAddr()</t>
  </si>
  <si>
    <t>CeDIAG_IAT_HiExp1</t>
  </si>
  <si>
    <t>D_IntakeAirTempOH1LightType</t>
  </si>
  <si>
    <r>
      <t>进气温</t>
    </r>
    <r>
      <rPr>
        <sz val="10"/>
        <rFont val="Malgun Gothic"/>
        <charset val="134"/>
      </rPr>
      <t>超限2</t>
    </r>
  </si>
  <si>
    <t>Intake Air Temperature higher than expected 2</t>
  </si>
  <si>
    <t>0x0127</t>
  </si>
  <si>
    <t>GetDiagIntakeAirTempOH2FMITypeAddr()</t>
  </si>
  <si>
    <t>GetDiagIntakeAirTempOH2LightTypeAddr()</t>
  </si>
  <si>
    <t>CeDIAG_IAT_HiExp2</t>
  </si>
  <si>
    <t>D_IntakeAirTempOH2LightType</t>
  </si>
  <si>
    <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</si>
  <si>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Boost Sensor Circuit Low</t>
  </si>
  <si>
    <t>0x0237</t>
  </si>
  <si>
    <t>GetDiagBSTPShortLoFMITypeAddr()</t>
  </si>
  <si>
    <t>GetDiagBSTPShortLoLightTypeAddr()</t>
  </si>
  <si>
    <t>CeDIAG_BSTP_ShortLo</t>
  </si>
  <si>
    <t>D_BSTPShortLoLightType</t>
  </si>
  <si>
    <t>D_BSTPShortEnb</t>
  </si>
  <si>
    <t>BSTPDiagEnb
BSTPSLFailMet
BSTPSHFailMet
BSTPSLTestFail
BSTPSLTestComp
BSTPSHTestFail
BSTPSHTestComp
BSTPSLFailCount
BSTPSLPassCount
BSTPSHFailCount
BSTPSHPassCount</t>
  </si>
  <si>
    <t>D_BSTPShortHighFailTimeThrsh
D_BSTPShortHighPassTimeThrsh
D_BSTPShortLowFailTimeThrsh
D_BSTPShortLowPassTimeThrsh
D_BSTPShortLoDiagFailThrsh
D_BSTPShortHiDiagFailThrsh
D_BSTPShortEnb
D_BSTPShortLoLightType
D_BSTPShortHiLightType
D_BSTPShortLoFMIType
D_BSTPShortHiFMIType</t>
  </si>
  <si>
    <t>BSTPDiagEnb = (IGNState == KEYON))
BSTPSLFailMet = BSTPDiagEnb AND (BSTP% &lt; D_BSTPShortLoDiagFailThrsh)
BSTPSHFailMet = BSTPDiagEnb AND (BSTP% &gt; D_BSTPShortHiDiagFailThrsh)</t>
  </si>
  <si>
    <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</si>
  <si>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Boost Sensor Circuit  High</t>
  </si>
  <si>
    <t>0x0238</t>
  </si>
  <si>
    <t>GetDiagBSTPShortHiFMITypeAddr()</t>
  </si>
  <si>
    <t>GetDiagBSTPShortHiLightTypeAddr()</t>
  </si>
  <si>
    <t>CeDIAG_BSTP_ShortHi</t>
  </si>
  <si>
    <t>D_BSTPShortHiLightType</t>
  </si>
  <si>
    <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行器短接低</t>
    </r>
  </si>
  <si>
    <t xml:space="preserve">Boost Control Solenoid Circuit Low </t>
  </si>
  <si>
    <t>0x0047</t>
  </si>
  <si>
    <t>GetDiagBSTCShortLoFMITypeAddr()</t>
  </si>
  <si>
    <t>GetDiagBSTCShortLoLightTypeAddr()</t>
  </si>
  <si>
    <t>CeDIAG_BSTC_ShortLo</t>
  </si>
  <si>
    <t>D_BSTCShortLoLightType</t>
  </si>
  <si>
    <t>D_BSTCShortEnb</t>
  </si>
  <si>
    <t>BSTCDiagEnb
BSTCSLTestComp
BSTCSHTestComp
BSTCSLTestFail
BSTCSHTestFail
BSTCSLFailMet
BSTCSHFailMet
BSTCSLFailCount
BSTCSHFailCount
BSTCSLPassCount
BSTCSHPassCount</t>
  </si>
  <si>
    <t>D_BSTCShortEnb
D_BSTCShortFailThresh
D_BSTCShortPassThresh
D_BSTCShortLoLightType
D_BSTCShortHiLightType
D_BSTCShortLoFMIType
D_BSTCShortHiFMIType</t>
  </si>
  <si>
    <t>BSTCDiagEnb = OutDiagComEnbKeyOn</t>
  </si>
  <si>
    <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行器短接高</t>
    </r>
  </si>
  <si>
    <t>Boost Control Solenoid Circuit High</t>
  </si>
  <si>
    <t>0x0048</t>
  </si>
  <si>
    <t>GetDiagBSTCShortHiFMITypeAddr()</t>
  </si>
  <si>
    <t>GetDiagBSTCShortHiLightTypeAddr()</t>
  </si>
  <si>
    <t>CeDIAG_BSTC_ShortHi</t>
  </si>
  <si>
    <t>D_BSTCShortHiLightType</t>
  </si>
  <si>
    <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</si>
  <si>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MAP Sensor Circuit Low</t>
  </si>
  <si>
    <t>0x0107</t>
  </si>
  <si>
    <t>GetDiagMAPShortLoFMITypeAddr()</t>
  </si>
  <si>
    <t>GetDiagMAPShortLoLightTypeAddr()</t>
  </si>
  <si>
    <t>CeDIAG_MAP_ShortLo</t>
  </si>
  <si>
    <t>D_MAPShortLoLightType</t>
  </si>
  <si>
    <t>D_MAPShortEnb</t>
  </si>
  <si>
    <t>MAPDiagEnb
MAPSLFailMet
MAPSHFailMet
MAPSLTestFail
MAPSLTestComp
MAPSHTestFail
MAPSHTestComp
MAPSLFailCount
MAPSLPassCount
MAPSHFailCount
MAPSHPassCount</t>
  </si>
  <si>
    <t>D_MAPShortHighFailTimeThrsh
D_MAPShortHighPassTimeThrsh
D_MAPShortLowFailTimeThrsh
D_MAPShortLowPassTimeThrsh
D_MAPShortLoDiagFailThrsh
D_MAPShortHiDiagFailThrsh
D_MAPShortEnb
D_MAPShortLoLightType
D_MAPShortHiLightType
D_MAPShortLoFMIType
D_MAPShortHiFMIType</t>
  </si>
  <si>
    <t>MAPDiagEnb = (IGNState == KEYON))
MAPSLFailMet = MAPDiagEnb AND (MAP% &lt; D_MAPShortLoDiagFailThrsh)
MAPSHFailMet = MAPDiagEnb AND (MAP% &gt; D_MAPShortHiDiagFailThrsh)</t>
  </si>
  <si>
    <t>MAPDfltUsed activated
MAPExpected = CT_MAPEstimateMain(EngineSpeed,TPS)
Baro = C_BaroDefault</t>
  </si>
  <si>
    <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</si>
  <si>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MAP Sensor Circuit High</t>
  </si>
  <si>
    <t>0x0108</t>
  </si>
  <si>
    <t>GetDiagMAPShortHiFMITypeAddr()</t>
  </si>
  <si>
    <t>GetDiagMAPShortHiLightTypeAddr()</t>
  </si>
  <si>
    <t>CeDIAG_MAP_ShortHi</t>
  </si>
  <si>
    <t>D_MAPShortHiLightType</t>
  </si>
  <si>
    <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</si>
  <si>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Pressure Sensor Circuit Low</t>
  </si>
  <si>
    <t>0x0091</t>
  </si>
  <si>
    <t>GetDiagFPShortLoFMITypeAddr()</t>
  </si>
  <si>
    <t>GetDiagFPShortLoLightTypeAddr()</t>
  </si>
  <si>
    <t>CeDIAG_FP_ShortLo</t>
  </si>
  <si>
    <t>D_FPShortLoLightType</t>
  </si>
  <si>
    <t>D_FPShortEnb</t>
  </si>
  <si>
    <t>FPDiagEnb
FPSLTestFail
FPSLTestComp
FPSHTestFail
FPSHTestComp
FPSLFailMet
FPSHFailMet
FPSLFailCount
FPSLPassCount
FPSHFailCount
FPSHPassCount
FPLoTestFail
FPLoTestComp
FPHiTestFail
FPHiTestComp
FPLoFailMet
FPHiFailMet
FPLoFailCount
FPLoPassCount
FPHiFailCount
FPHiPassCount</t>
  </si>
  <si>
    <t>D_FPShrtFailTimeThrsh
D_FPHLFailTimeThrsh
D_FPPassTimeThrsh
D_FPShortRangeThreshHi
D_FPShortRangeThreshLo
D_FPRangeThreshHi
D_FPRangeThreshLo
D_FPShortEnb
D_FPShortLoLightType
D_FPShortHiLightType
D_FPLoLightType
D_FPHiLightType
D_FPShortLoFMIType
D_FPShortHiFMIType
D_FPLoFMIType
D_FPHiFMIType</t>
  </si>
  <si>
    <t>FPDiagEnb is enabled when the engine is in either Stall, Crank, Run, or Key On state.
FPSLFailMet=TRUE if the  pressure percentage is less than the low threshold.
FPSHFailMet=TRUE if the pressure percentage exceeds the high threshold.</t>
  </si>
  <si>
    <t>BLM_LrnAllowed disabled</t>
  </si>
  <si>
    <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</si>
  <si>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Pressure Sensor Circuit High</t>
  </si>
  <si>
    <t>0x0092</t>
  </si>
  <si>
    <t>GetDiagFPShortHiFMITypeAddr()</t>
  </si>
  <si>
    <t>GetDiagFPShortHiLightTypeAddr()</t>
  </si>
  <si>
    <t>CeDIAG_FP_ShortHi</t>
  </si>
  <si>
    <t>D_FPShortHiLightType</t>
  </si>
  <si>
    <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低</t>
    </r>
  </si>
  <si>
    <t>Fuel Rail/System Pressure - Too Low</t>
  </si>
  <si>
    <t>0x0087</t>
  </si>
  <si>
    <t>GetDiagFPLoFMITypeAddr()</t>
  </si>
  <si>
    <t>GetDiagFPLoLightTypeAddr()</t>
  </si>
  <si>
    <t>CeDIAG_FP_Lo</t>
  </si>
  <si>
    <t>D_FPLoLightType</t>
  </si>
  <si>
    <r>
      <t>烯</t>
    </r>
    <r>
      <rPr>
        <sz val="10"/>
        <rFont val="Malgun Gothic"/>
        <charset val="134"/>
      </rPr>
      <t>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高</t>
    </r>
  </si>
  <si>
    <t>Fuel Rail/System Pressure - Too High</t>
  </si>
  <si>
    <t>0x0088</t>
  </si>
  <si>
    <t>GetDiagFPHiFMITypeAddr()</t>
  </si>
  <si>
    <t>GetDiagFPHiLightTypeAddr()</t>
  </si>
  <si>
    <t>CeDIAG_FP_Hi</t>
  </si>
  <si>
    <t>D_FPHiLightType</t>
  </si>
  <si>
    <r>
      <t>机油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力太低</t>
    </r>
  </si>
  <si>
    <t>Engine Oil Pressure Too Low</t>
  </si>
  <si>
    <t>0x0524</t>
  </si>
  <si>
    <t>GetDiagOilPressureFMITypeAddr()</t>
  </si>
  <si>
    <t>GetDiagOilPressureLightTypeAddr()</t>
  </si>
  <si>
    <t>CeDIAG_OP_TooLow</t>
  </si>
  <si>
    <t>D_OilPressureLightType</t>
  </si>
  <si>
    <t>D_OilPressureInputEnb</t>
  </si>
  <si>
    <t>OPSWSTTestComp
OPSWSTTestFail
OPSWSTDiagEnb
OPSWSTFailMet
OPSWSTFailCount
OPSWSTPassCount
OPSWSTDiagDelay</t>
  </si>
  <si>
    <t>D_OilPressureShortDetectDelay
D_OilPressureShortFailThresh
D_OilPressureShortPassThresh
D_OilPressureInputEnb
D_OilSWLowActive
D_OilSWDiagKeyOn
D_OilSWAnalogused
D_OilSWShortRangeThreshLo
D_OilSWShortRangeThreshHi
D_OilPressureLightType
D_OilPressureFMIType</t>
  </si>
  <si>
    <t>OPSWSTDiagEnb = D_OilSWDiagKeyOn OR RunTime &gt;= D_OilPressureShortDiagRunTimeThrsh
Logic Relation for Analog Input:
OPSWSTFailMet = (AnalogValue &lt; D_OilSWShortRangeThreshLo) || (AnalogValue &gt; D_OilSWShortRangeThreshHi)
Logic Relation for Discrete Input:
OPSWSTFailMet = D_OilSWLowActive ? !DiscreteInputState : DiscreteInputState</t>
  </si>
  <si>
    <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</si>
  <si>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1 Circuit Low</t>
  </si>
  <si>
    <t>0x0122</t>
  </si>
  <si>
    <t>GetDiagTPSShortLoFMITypeAddr()</t>
  </si>
  <si>
    <t>GetDiagTPSShortLoLightTypeAddr()</t>
  </si>
  <si>
    <t>CeDIAG_TPS1_ShortLo</t>
  </si>
  <si>
    <t>D_TPSShortLoLightType</t>
  </si>
  <si>
    <t>D_TPSShortEnb</t>
  </si>
  <si>
    <t>TPSSLFailMet
TPSSHFailMet
TPSShrtDiagEnb
TPSSLTestFail
TPSSHTestFail</t>
  </si>
  <si>
    <t>D_TPSShortHighFailTimeThrsh
D_TPSShortLowFailTimeThrsh
D_TPSShortDiagPassTimeThrsh
D_TPSShortRangeThreshLo
D_TPSShortRangeThreshHi
D_TPSShortEnb
D_TPSShortLoLightType
D_TPSShortHiLightType
D_TPSShortLoFMIType
D_TPSShortHiFMIType</t>
  </si>
  <si>
    <t>TPSSLFailMet = (TPS volts in % &lt; D_TPSShortRangeThreshLo)
TPSSHFailMet = (TPS volts in % &gt; D_TPSShortRangeThreshHi)
TPSSLTestFail = (TPSSLFailCount &gt;= D_TPSShortLowFailTimeThrsh)
TPSSHTestFail = (TPSSHFailCount &gt;= D_TPSShortHighFailTimeThrsh)</t>
  </si>
  <si>
    <t>Fuel Closed loop disabled
TPSDfltUsed activated
TPS = CT_DefaultTPS(EngineSpeed)</t>
  </si>
  <si>
    <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</si>
  <si>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 1 Circuit High</t>
  </si>
  <si>
    <t>0x0123</t>
  </si>
  <si>
    <t>GetDiagTPSShortHiFMITypeAddr()</t>
  </si>
  <si>
    <t>GetDiagTPSShortHiLightTypeAddr()</t>
  </si>
  <si>
    <t>CeDIAG_TPS1_ShortHi</t>
  </si>
  <si>
    <t>D_TPSShortHiLightType</t>
  </si>
  <si>
    <r>
      <t>节气门电</t>
    </r>
    <r>
      <rPr>
        <sz val="10"/>
        <rFont val="Malgun Gothic"/>
        <charset val="134"/>
      </rPr>
      <t>机短接低</t>
    </r>
  </si>
  <si>
    <t xml:space="preserve">Throttle Actuator Control Motor Circuit Low </t>
  </si>
  <si>
    <t>0x2102</t>
  </si>
  <si>
    <t>GetDiagDCMShortLoFMITypeAddr()</t>
  </si>
  <si>
    <t>GetDiagDCMShortLoLightTypeAddr()</t>
  </si>
  <si>
    <t>CeDIAG_TPSM_ShortLo</t>
  </si>
  <si>
    <t>D_DCMShortLoLightType</t>
  </si>
  <si>
    <t>D_DCMShortEnb</t>
  </si>
  <si>
    <t>DCMSHTestComp
DCMSHTestFail
DCMSLTestComp
DCMSLTestFail</t>
  </si>
  <si>
    <t>D_DCMShortEnb
D_DCMShortFailThresh
D_DCMShortPassThresh
D_DCMShortLoLightType
D_DCMShortHiLightType
D_DCMShortLoFMIType
D_DCMShortHiFMIType</t>
  </si>
  <si>
    <t>DCMDiagEnb = OutDiagComEnbKeyOn</t>
  </si>
  <si>
    <r>
      <t>节气门电</t>
    </r>
    <r>
      <rPr>
        <sz val="10"/>
        <rFont val="Malgun Gothic"/>
        <charset val="134"/>
      </rPr>
      <t>机短接高</t>
    </r>
  </si>
  <si>
    <t>Throttle Actuator Control Motor Circuit High</t>
  </si>
  <si>
    <t>0x2103</t>
  </si>
  <si>
    <t>GetDiagDCMShortHiFMITypeAddr()</t>
  </si>
  <si>
    <t>GetDiagDCMShortHiLightTypeAddr()</t>
  </si>
  <si>
    <t>CeDIAG_TPSM_ShortHi</t>
  </si>
  <si>
    <t>D_DCMShortHiLightType</t>
  </si>
  <si>
    <r>
      <t>节气门电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</si>
  <si>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Throttle Actuator Control Module-Stuck</t>
  </si>
  <si>
    <t>0x2108</t>
  </si>
  <si>
    <t>GetDiagTPSMotorControlFMITypeAddr()</t>
  </si>
  <si>
    <t>GetDiagTPSMotorControlLightTypeAddr()</t>
  </si>
  <si>
    <t>CeDIAG_TPSM_Stuck</t>
  </si>
  <si>
    <t>D_TPSMotorControlLightType</t>
  </si>
  <si>
    <t>D_TPSMotorControlEnb</t>
  </si>
  <si>
    <t>TPSCntrTestComp
TPSCntrTestFail
TPSCntrDiagEnb
TPSCntrFailMet
TPSCntrPassCount
TPSCntrFailCount
TPSErrorDynThresh
TPSCntrErrorThresh
TPSCntrError</t>
  </si>
  <si>
    <t>D_TPSMotorControlEnb
D_TPSMotorDiagFailTimeThresh
D_TPSMotorDiagPassTimeThresh
D_TPSMotorDynErrThrshGain
D_TPSMotorDynErrThrDecayStep
D_TPSMotorDiagTPSErrThresh
D_TPSMotorControlLightType
D_TPSMotorControlFMIType</t>
  </si>
  <si>
    <t>TPSCntrDiagEnb = (IGNVoltFilt &gt; C_IDLEMoveBatVoltMaxLimit) AND (IGNVoltFilt &lt; C_IDLEMoveBatVoltMinLimit)
TPSErrorDynThresh = max(|DesireTPS - DesireTPSOld| * D_TPSMotorDynErrThrshGain,  TPSErrorDynThresh - D_TPSMotorDynErrThrDecayStep)
TPSCntrErrorThresh = D_TPSMotorDiagTPSErrThresh +TPSErrorDynThresh 
TPSCntrError = |TPS - DesireTPS|
TPSCntrFailMet = (TPSCntrDiagEnb == CbTRUE) &amp;&amp; (TPSCntrError &gt; TPSCntrErrorThresh)</t>
  </si>
  <si>
    <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</si>
  <si>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Valve  Position Sensor Circuit Low</t>
  </si>
  <si>
    <t>0x0405</t>
  </si>
  <si>
    <t>GetDiagFCVPSShortLoFMITypeAddr()</t>
  </si>
  <si>
    <t>GetDiagFCVPSShortLoLightTypeAddr()</t>
  </si>
  <si>
    <t>CeDIAG_FCVPS_ShortLo</t>
  </si>
  <si>
    <t>D_FCVPSShortLoLightType</t>
  </si>
  <si>
    <t>D_FCVPSShortEnb</t>
  </si>
  <si>
    <t>FCVPSSLFailMet
FCVPSSHFailMet
FCVPSDiagEnb
FCVPSSLTestFail
FCVPSSLTestComp
FCVPSSHTestFail
FCVPSSHTestComp
FCVPSSLFailCount
FCVPSSLPassCount
FCVPSSHFailCount
FCVPSSHPassCount</t>
  </si>
  <si>
    <t>D_FCVPSFailTimeThrsh
D_FCVPSPassTimeThrsh
D_FCVPSShortRangeThreshLo
D_FCVPSShortRangeThreshHi
D_FCVPSShortEnb
D_FCVPSShortLoLightType
D_FCVPSShortHiLightType
D_FCVPSShortLoFMIType
D_FCVPSShortHiFMIType</t>
  </si>
  <si>
    <t>FCVPSDiagEnb = IGNState
FCVPSSLFailMet = RawFCVPS% &lt; D_FCVPSShortRangeThreshLo
FCVPSSHFailMet = RawFCVPS% &gt; D_FCVPSShortRangeThreshHi</t>
  </si>
  <si>
    <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</si>
  <si>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Valve  Position Sensor Circuit High</t>
  </si>
  <si>
    <t>0x0406</t>
  </si>
  <si>
    <t>GetDiagFCVPSShortHiFMITypeAddr()</t>
  </si>
  <si>
    <t>GetDiagFCVPSShortHiLightTypeAddr()</t>
  </si>
  <si>
    <t>CeDIAG_FCVPS_ShortHi</t>
  </si>
  <si>
    <t>D_FCVPSShortHiLightType</t>
  </si>
  <si>
    <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机短接低</t>
    </r>
  </si>
  <si>
    <t>Fuel Valve  Control Motor Circuit Low</t>
  </si>
  <si>
    <t>0x0489</t>
  </si>
  <si>
    <t>GetDiagFCVMShortLoFMITypeAddr()</t>
  </si>
  <si>
    <t>GetDiagFCVMShortLoLightTypeAddr()</t>
  </si>
  <si>
    <t>CeDIAG_FCVM_ShortLo</t>
  </si>
  <si>
    <t>D_FCVMShortLoLightType</t>
  </si>
  <si>
    <t>D_FCVMShortEnb</t>
  </si>
  <si>
    <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机短接高</t>
    </r>
  </si>
  <si>
    <t>Fuel Valve  Control Motor Circuit High</t>
  </si>
  <si>
    <t>0x0490</t>
  </si>
  <si>
    <t>GetDiagFCVMShortHiFMITypeAddr()</t>
  </si>
  <si>
    <t>GetDiagFCVMShortHiLightTypeAddr()</t>
  </si>
  <si>
    <t>CeDIAG_FCVM_ShortHi</t>
  </si>
  <si>
    <t>D_FCVMShortHiLightType</t>
  </si>
  <si>
    <r>
      <t>燃料</t>
    </r>
    <r>
      <rPr>
        <sz val="10"/>
        <rFont val="宋体"/>
        <charset val="134"/>
      </rPr>
      <t>阀电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</si>
  <si>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Fuel Valve  Control Module - Stuck</t>
  </si>
  <si>
    <t>0x0488</t>
  </si>
  <si>
    <t>GetDiagFCVMotorControlFMITypeAddr()</t>
  </si>
  <si>
    <t>GetDiagFCVMotorControlLightTypeAddr()</t>
  </si>
  <si>
    <t>CeDIAG_FCVM_Stuck</t>
  </si>
  <si>
    <t>D_FCVMotorControlLightType</t>
  </si>
  <si>
    <t>D_FCVMotorControlEnb</t>
  </si>
  <si>
    <t>FCVPSCntrTestComp
FCVPSCntrTestFail
FCVPSCntrDiagEnb
FCVPSCntrFailMet
FCVPSCntrPassCount
FCVPSCntrFailCount
FCVPSErrorDynThresh
FCVPSCntrErrorThresh
FCVPSCntrError</t>
  </si>
  <si>
    <t>D_FCVMotorControlEnb
D_FCVMotorDiagFailTimeThresh
D_FCVMotorDiagPassTimeThresh
D_FCVMotorDynErrThrshGain
D_FCVMotorDynErrThrDecayStep
D_FCVMotorDiagFCVPSErrThresh
D_FCVMotorControlLightType
D_FCVMotorControlFMIType</t>
  </si>
  <si>
    <t>FCVPSCntrDiagEnb = (IGNVoltFilt &lt; C_IDLEMoveBatVoltMaxLimit) AND (IGNVoltFilt &gt; C_IDLEMoveBatVoltMinLimit)
FCVPSCntrErrorThresh = D_FCVMotorDiagFCVPSErrThresh + max(|DesireFCVPS - DesireFCVPSOld| * D_FCVMotorDynErrThrshGain, FCVPSErrorDynThresh - D_FCVMotorDynErrThrDecayStep)
FCVPSCntrError = |FCVPS - DesireFCVPS|
FCVPSCntrFailMet = (FCVPSCntrDiagEnb == CbTRUE) &amp;&amp; (FCVPSCntrError &gt; FCVPSCntrErrorThresh)</t>
  </si>
  <si>
    <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</si>
  <si>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"NG" Control Circuit Low</t>
  </si>
  <si>
    <t>0x0006</t>
  </si>
  <si>
    <t>GetDiagFCV1ShortLoFMITypeAddr()</t>
  </si>
  <si>
    <t>GetDiagFCV1ShortLoLightTypeAddr()</t>
  </si>
  <si>
    <t>CeDIAG_FCV1_ShortLo</t>
  </si>
  <si>
    <t>D_FCV1ShortLoLightType</t>
  </si>
  <si>
    <t>D_FCV1ShortEnb</t>
  </si>
  <si>
    <t>FCV1DiagEnb
FCV1SLTestComp
FCV1SHTestComp
FCV1SLTestFail
FCV1SHTestFail
FCV1SLFailMet
FCV1SHFailMet
FCV1SLFailCount
FCV1SHFailCount
FCV1SLPassCount
FCV1SHPassCount</t>
  </si>
  <si>
    <t>D_FCV1ShortEnb
D_FCV1ShortFailThresh
D_FCV1ShortPassThresh
D_FCV1ShortLoLightType
D_FCV1ShortHiLightType
D_FCV1ShortLoFMIType
D_FCV1ShortHiFMIType</t>
  </si>
  <si>
    <t>FCV1DiagEnb = OutDiagComEnbKeyOn</t>
  </si>
  <si>
    <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</si>
  <si>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"NG" Control Circuit High</t>
  </si>
  <si>
    <t>0x0007</t>
  </si>
  <si>
    <t>GetDiagFCV1ShortHiFMITypeAddr()</t>
  </si>
  <si>
    <t>GetDiagFCV1ShortHiLightTypeAddr()</t>
  </si>
  <si>
    <t>CeDIAG_FCV1_ShortHi</t>
  </si>
  <si>
    <t>D_FCV1ShortHiLightType</t>
  </si>
  <si>
    <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</si>
  <si>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"LPG" Control Circuit Low</t>
  </si>
  <si>
    <t>0x2666</t>
  </si>
  <si>
    <t>GetDiagFCV2ShortLoFMITypeAddr()</t>
  </si>
  <si>
    <t>GetDiagFCV2ShortLoLightTypeAddr()</t>
  </si>
  <si>
    <t>CeDIAG_FCV2_ShortLo</t>
  </si>
  <si>
    <t>D_FCV2ShortLoLightType</t>
  </si>
  <si>
    <t>D_FCV2ShortEnb</t>
  </si>
  <si>
    <t>FCV2DiagEnb
FCV2SLTestComp
FCV2SHTestComp
FCV2SLTestFail
FCV2SHTestFail
FCV2SLFailMet
FCV2SHFailMet
FCV2SLFailCount
FCV2SHFailCount
FCV2SLPassCount
FCV2SHPassCount</t>
  </si>
  <si>
    <t>D_FCV2ShortEnb
D_FCV2ShortFailThresh
D_FCV2ShortPassThresh
D_FCV2ShortLoLightType
D_FCV2ShortHiLightType
D_FCV2ShortLoFMIType
D_FCV2ShortHiFMIType</t>
  </si>
  <si>
    <t>FCV2DiagEnb = OutDiagComEnbKeyOn</t>
  </si>
  <si>
    <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</si>
  <si>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"LPG" Control Circuit High</t>
  </si>
  <si>
    <t>0x2667</t>
  </si>
  <si>
    <t>GetDiagFCV2ShortHiFMITypeAddr()</t>
  </si>
  <si>
    <t>GetDiagFCV2ShortHiLightTypeAddr()</t>
  </si>
  <si>
    <t>CeDIAG_FCV2_ShortHi</t>
  </si>
  <si>
    <t>D_FCV2ShortHiLightType</t>
  </si>
  <si>
    <t>5VREF1短接低</t>
  </si>
  <si>
    <t>5VREF1 Circuit Low</t>
  </si>
  <si>
    <t>0x0642</t>
  </si>
  <si>
    <t>GetDiagREF1ShortLoFMITypeAddr()</t>
  </si>
  <si>
    <t>GetDiagREF1ShortLoLightTypeAddr()</t>
  </si>
  <si>
    <t>CeDIAG_5VREF1_ShortLo</t>
  </si>
  <si>
    <t>D_REF1ShortLoLightType</t>
  </si>
  <si>
    <t>D_REF1ShortEnb</t>
  </si>
  <si>
    <t>REF1DiagEnb
REF1SLTestComp
REF1SHTestComp
REF1SLTestFail
REF1SHTestFail
REF1SLFailMet
REF1SHFailMet
REF1SLFailCount
REF1SHFailCount
REF1SLPassCount
REF1SHPassCount</t>
  </si>
  <si>
    <t>D_REF1ShortEnb
D_REF1ShortFailThresh
D_REF1ShortPassThresh
D_REF1ShortLoLightType
D_REF1ShortHiLightType
D_REF1ShortLoFMIType
D_REF1ShortHiFMIType</t>
  </si>
  <si>
    <t>REF1DiagEnb = OutDiagComEnbKeyOn</t>
  </si>
  <si>
    <t>5VREF1短接高</t>
  </si>
  <si>
    <t>5VREF1 Circuit High</t>
  </si>
  <si>
    <t>0x0643</t>
  </si>
  <si>
    <t>GetDiagREF1ShortHiFMITypeAddr()</t>
  </si>
  <si>
    <t>GetDiagREF1ShortHiLightTypeAddr()</t>
  </si>
  <si>
    <t>CeDIAG_5VREF1_ShortHi</t>
  </si>
  <si>
    <t>D_REF1ShortHiLightType</t>
  </si>
  <si>
    <t>5VREF2短接低</t>
  </si>
  <si>
    <t>5VREF2 Circuit Low</t>
  </si>
  <si>
    <t>0x0652</t>
  </si>
  <si>
    <t>GetDiagREF2ShortLoFMITypeAddr()</t>
  </si>
  <si>
    <t>GetDiagREF2ShortLoLightTypeAddr()</t>
  </si>
  <si>
    <t>CeDIAG_5VREF2_ShortLo</t>
  </si>
  <si>
    <t>D_REF2ShortLoLightType</t>
  </si>
  <si>
    <t>D_REF2ShortEnb</t>
  </si>
  <si>
    <t>REF2DiagEnb
REF2SLTestComp
REF2SHTestComp
REF2SLTestFail
REF2SHTestFail
REF2SLFailMet
REF2SHFailMet
REF2SLFailCount
REF2SHFailCount
REF2SLPassCount
REF2SHPassCount</t>
  </si>
  <si>
    <t>D_REF2ShortEnb
D_REF2ShortFailThresh
D_REF2ShortPassThresh
D_REF2ShortLoLightType
D_REF2ShortHiLightType
D_REF2ShortLoFMIType
D_REF2ShortHiFMIType</t>
  </si>
  <si>
    <t>REF2DiagEnb = OutDiagComEnbKeyOn</t>
  </si>
  <si>
    <t>5VREF2短接高</t>
  </si>
  <si>
    <t>5VREF2 Circuit High</t>
  </si>
  <si>
    <t>0x0653</t>
  </si>
  <si>
    <t>GetDiagREF2ShortHiFMITypeAddr()</t>
  </si>
  <si>
    <t>GetDiagREF2ShortHiLightTypeAddr()</t>
  </si>
  <si>
    <t>CeDIAG_5VREF2_ShortHi</t>
  </si>
  <si>
    <t>D_REF2ShortHiLightType</t>
  </si>
  <si>
    <r>
      <t>线</t>
    </r>
    <r>
      <rPr>
        <sz val="10"/>
        <rFont val="Malgun Gothic"/>
        <charset val="134"/>
      </rPr>
      <t>圈1短接低</t>
    </r>
  </si>
  <si>
    <t>Ignition Coil “1” Primary Control Circuit Low</t>
  </si>
  <si>
    <t>0x2300</t>
  </si>
  <si>
    <t>GetDiagIgnitionCoil1LoFMITypeAddr()</t>
  </si>
  <si>
    <t>GetDiagIgnitionCoil1LoLightTypeAddr()</t>
  </si>
  <si>
    <t>CeDIAG_COIL1_ShortLo</t>
  </si>
  <si>
    <t>D_IgnitionCoil1LoLightType</t>
  </si>
  <si>
    <t>D_IgnitionCoilEnb</t>
  </si>
  <si>
    <t>CoilDiagEnb
CoilSLFailMet
CoilSHFailMet
CoilSLTestComp
CoilSHTestComp
CoilSLTestFail
CoilSHTestFail
CoilSLFailCount
CoilSLPassCount
CoilSHFailCount
CoilSHPassCount</t>
  </si>
  <si>
    <t>D_IgnitionCoilEnb
D_IgnitionCoil1LoLightType
D_IgnitionCoil1HiLightType
D_IgnitionCoil2LoLightType
D_IgnitionCoil2HiLightType
D_IgnitionCoil3LoLightType
D_IgnitionCoil3HiLightType
D_IgnitionCoil4LoLightType
D_IgnitionCoil4HiLightType
D_IgnitionCoil1LoFMIType
D_IgnitionCoil1HiFMIType
D_IgnitionCoil2LoFMIType
D_IgnitionCoil2HiFMIType
D_IgnitionCoil3LoFMIType
D_IgnitionCoil3HiFMIType
D_IgnitionCoil4LoFMIType
D_IgnitionCoil4HiFMIType</t>
  </si>
  <si>
    <t>CoilDiagEnb = OutDiagComEnbRun</t>
  </si>
  <si>
    <t xml:space="preserve">FCVPS fully closed </t>
  </si>
  <si>
    <r>
      <t>线</t>
    </r>
    <r>
      <rPr>
        <sz val="10"/>
        <rFont val="Malgun Gothic"/>
        <charset val="134"/>
      </rPr>
      <t>圈1短接高</t>
    </r>
  </si>
  <si>
    <t>Ignition Coil “1” Primary Control Circuit High</t>
  </si>
  <si>
    <t>0x2301</t>
  </si>
  <si>
    <t>GetDiagIgnitionCoil1HiFMITypeAddr()</t>
  </si>
  <si>
    <t>GetDiagIgnitionCoil1HiLightTypeAddr()</t>
  </si>
  <si>
    <t>CeDIAG_COIL1_ShortHi</t>
  </si>
  <si>
    <t>D_IgnitionCoil1HiLightType</t>
  </si>
  <si>
    <r>
      <t>线</t>
    </r>
    <r>
      <rPr>
        <sz val="10"/>
        <rFont val="Malgun Gothic"/>
        <charset val="134"/>
      </rPr>
      <t>圈2短接低</t>
    </r>
  </si>
  <si>
    <t>Ignition Coil “2” Primary Control Circuit Low</t>
  </si>
  <si>
    <t>0x2303</t>
  </si>
  <si>
    <t>GetDiagIgnitionCoil2LoFMITypeAddr()</t>
  </si>
  <si>
    <t>GetDiagIgnitionCoil2LoLightTypeAddr()</t>
  </si>
  <si>
    <t>CeDIAG_COIL2_ShortLo</t>
  </si>
  <si>
    <t>D_IgnitionCoil2LoLightType</t>
  </si>
  <si>
    <r>
      <t>线</t>
    </r>
    <r>
      <rPr>
        <sz val="10"/>
        <rFont val="Malgun Gothic"/>
        <charset val="134"/>
      </rPr>
      <t>圈2短接高</t>
    </r>
  </si>
  <si>
    <t>Ignition Coil “2” Primary Control Circuit High</t>
  </si>
  <si>
    <t>0x2304</t>
  </si>
  <si>
    <t>GetDiagIgnitionCoil2HiFMITypeAddr()</t>
  </si>
  <si>
    <t>GetDiagIgnitionCoil2HiLightTypeAddr()</t>
  </si>
  <si>
    <t>CeDIAG_COIL2_ShortHi</t>
  </si>
  <si>
    <t>D_IgnitionCoil2HiLightType</t>
  </si>
  <si>
    <r>
      <t>线</t>
    </r>
    <r>
      <rPr>
        <sz val="10"/>
        <rFont val="Malgun Gothic"/>
        <charset val="134"/>
      </rPr>
      <t>圈3短接低</t>
    </r>
  </si>
  <si>
    <t>Ignition Coil “3” Primary Control Circuit Low</t>
  </si>
  <si>
    <t>0x2306</t>
  </si>
  <si>
    <t>GetDiagIgnitionCoil3LoFMITypeAddr()</t>
  </si>
  <si>
    <t>GetDiagIgnitionCoil3LoLightTypeAddr()</t>
  </si>
  <si>
    <t>CeDIAG_COIL3_ShortLo</t>
  </si>
  <si>
    <t>D_IgnitionCoil3LoLightType</t>
  </si>
  <si>
    <r>
      <t>线</t>
    </r>
    <r>
      <rPr>
        <sz val="10"/>
        <rFont val="Malgun Gothic"/>
        <charset val="134"/>
      </rPr>
      <t>圈3短接高</t>
    </r>
  </si>
  <si>
    <t>Ignition Coil “3” Primary Control Circuit High</t>
  </si>
  <si>
    <t>0x2307</t>
  </si>
  <si>
    <t>GetDiagIgnitionCoil3HiFMITypeAddr()</t>
  </si>
  <si>
    <t>GetDiagIgnitionCoil3HiLightTypeAddr()</t>
  </si>
  <si>
    <t>CeDIAG_COIL3_ShortHi</t>
  </si>
  <si>
    <t>D_IgnitionCoil3HiLightType</t>
  </si>
  <si>
    <r>
      <t>线</t>
    </r>
    <r>
      <rPr>
        <sz val="10"/>
        <rFont val="Malgun Gothic"/>
        <charset val="134"/>
      </rPr>
      <t>圈4短接低</t>
    </r>
  </si>
  <si>
    <t>Ignition Coil “4” Primary Control Circuit Low</t>
  </si>
  <si>
    <t>0x2309</t>
  </si>
  <si>
    <t>GetDiagIgnitionCoil4LoFMITypeAddr()</t>
  </si>
  <si>
    <t>GetDiagIgnitionCoil4LoLightTypeAddr()</t>
  </si>
  <si>
    <t>CeDIAG_COIL4_ShortLo</t>
  </si>
  <si>
    <t>D_IgnitionCoil4LoLightType</t>
  </si>
  <si>
    <r>
      <t>线</t>
    </r>
    <r>
      <rPr>
        <sz val="10"/>
        <rFont val="Malgun Gothic"/>
        <charset val="134"/>
      </rPr>
      <t>圈4短接高</t>
    </r>
  </si>
  <si>
    <t>Ignition Coil “4” Primary Control Circuit High</t>
  </si>
  <si>
    <t>0x2310</t>
  </si>
  <si>
    <t>GetDiagIgnitionCoil4HiFMITypeAddr()</t>
  </si>
  <si>
    <t>GetDiagIgnitionCoil4HiLightTypeAddr()</t>
  </si>
  <si>
    <t>CeDIAG_COIL4_ShortHi</t>
  </si>
  <si>
    <t>D_IgnitionCoil4HiLightType</t>
  </si>
  <si>
    <r>
      <t>喷</t>
    </r>
    <r>
      <rPr>
        <sz val="10"/>
        <rFont val="Malgun Gothic"/>
        <charset val="134"/>
      </rPr>
      <t>射器1短接低</t>
    </r>
  </si>
  <si>
    <t>Cylinder 1 Injector Circuit Low</t>
  </si>
  <si>
    <t>0x0261</t>
  </si>
  <si>
    <t>GetDiagInjectorCyl1LoFMITypeAddr()</t>
  </si>
  <si>
    <t>GetDiagInjectorCyl1LoLightTypeAddr()</t>
  </si>
  <si>
    <t>CeDIAG_INJ1_ShortLo</t>
  </si>
  <si>
    <t>D_InjectorCyl1LoLightType</t>
  </si>
  <si>
    <t>D_InjectorCylEnb</t>
  </si>
  <si>
    <t>InjDiagEnb
InjSLFailMet
InjSHFailMet
InjSLTestComp
InjSHTestComp
InjSLTestFail
InjSHTestFail
InjSLFailCount
InjSLPassCount
InjSHFailCount
InjSHPassCount</t>
  </si>
  <si>
    <t>D_InjectorCylEnb
D_InjectorCyl1LoLightType
D_InjectorCyl1HiLoLightType
D_InjectorCyl2LoLightType
D_InjectorCyl2HiLoLightType
D_InjectorCyl3LoLightType
D_InjectorCyl3HiLoLightType
D_InjectorCyl4LoLightType
D_InjectorCyl4HiLoLightType
D_InjectorCyl1LoFMIType
D_InjectorCyl1HiLoFMIType
D_InjectorCyl2LoFMIType
D_InjectorCyl2HiLoFMIType
D_InjectorCyl3LoFMIType
D_InjectorCyl3HiLoFMIType
D_InjectorCyl4LoFMIType
D_InjectorCyl4HiLoFMIType</t>
  </si>
  <si>
    <t>InjDiagEnb = OutDiagComEnbKeyOn</t>
  </si>
  <si>
    <r>
      <t>喷</t>
    </r>
    <r>
      <rPr>
        <sz val="10"/>
        <rFont val="Malgun Gothic"/>
        <charset val="134"/>
      </rPr>
      <t>射器1短接高</t>
    </r>
  </si>
  <si>
    <t>Cylinder 1 Injector Circuit High</t>
  </si>
  <si>
    <t>0x0262</t>
  </si>
  <si>
    <t>GetDiagInjectorCyl1HiLoFMITypeAddr()</t>
  </si>
  <si>
    <t>GetDiagInjectorCyl1HiLoLightTypeAddr()</t>
  </si>
  <si>
    <t>CeDIAG_INJ1_ShortHi</t>
  </si>
  <si>
    <t>D_InjectorCyl1HiLoLightType</t>
  </si>
  <si>
    <r>
      <t>喷</t>
    </r>
    <r>
      <rPr>
        <sz val="10"/>
        <rFont val="Malgun Gothic"/>
        <charset val="134"/>
      </rPr>
      <t>射器2短接低</t>
    </r>
  </si>
  <si>
    <t>Cylinder 2 Injector Circuit Low</t>
  </si>
  <si>
    <t>0x0264</t>
  </si>
  <si>
    <t>GetDiagInjectorCyl2LoFMITypeAddr()</t>
  </si>
  <si>
    <t>GetDiagInjectorCyl2LoLightTypeAddr()</t>
  </si>
  <si>
    <t>CeDIAG_INJ2_ShortLo</t>
  </si>
  <si>
    <t>D_InjectorCyl2LoLightType</t>
  </si>
  <si>
    <r>
      <t>喷</t>
    </r>
    <r>
      <rPr>
        <sz val="10"/>
        <rFont val="Malgun Gothic"/>
        <charset val="134"/>
      </rPr>
      <t>射器2短接高</t>
    </r>
  </si>
  <si>
    <t>Cylinder 2 Injector Circuit High</t>
  </si>
  <si>
    <t>0x0265</t>
  </si>
  <si>
    <t>GetDiagInjectorCyl2HiLoFMITypeAddr()</t>
  </si>
  <si>
    <t>GetDiagInjectorCyl2HiLoLightTypeAddr()</t>
  </si>
  <si>
    <t>CeDIAG_INJ2_ShortHi</t>
  </si>
  <si>
    <t>D_InjectorCyl2HiLoLightType</t>
  </si>
  <si>
    <r>
      <t>喷</t>
    </r>
    <r>
      <rPr>
        <sz val="10"/>
        <rFont val="Malgun Gothic"/>
        <charset val="134"/>
      </rPr>
      <t>射器3短接低</t>
    </r>
  </si>
  <si>
    <t>Cylinder 3 Injector Circuit Low</t>
  </si>
  <si>
    <t>0x0267</t>
  </si>
  <si>
    <t>GetDiagInjectorCyl3LoFMITypeAddr()</t>
  </si>
  <si>
    <t>GetDiagInjectorCyl3LoLightTypeAddr()</t>
  </si>
  <si>
    <t>CeDIAG_INJ3_ShortLo</t>
  </si>
  <si>
    <t>D_InjectorCyl3LoLightType</t>
  </si>
  <si>
    <r>
      <t>喷</t>
    </r>
    <r>
      <rPr>
        <sz val="10"/>
        <rFont val="Malgun Gothic"/>
        <charset val="134"/>
      </rPr>
      <t>射器3短接高</t>
    </r>
  </si>
  <si>
    <t>Cylinder 3 Injector Circuit High</t>
  </si>
  <si>
    <t>0x0268</t>
  </si>
  <si>
    <t>GetDiagInjectorCyl3HiLoFMITypeAddr()</t>
  </si>
  <si>
    <t>GetDiagInjectorCyl3HiLoLightTypeAddr()</t>
  </si>
  <si>
    <t>CeDIAG_INJ3_ShortHi</t>
  </si>
  <si>
    <t>D_InjectorCyl3HiLoLightType</t>
  </si>
  <si>
    <r>
      <t>喷</t>
    </r>
    <r>
      <rPr>
        <sz val="10"/>
        <rFont val="Malgun Gothic"/>
        <charset val="134"/>
      </rPr>
      <t>射器4短接低</t>
    </r>
  </si>
  <si>
    <t>Cylinder 4 Injector Circuit Low</t>
  </si>
  <si>
    <t>0x0270</t>
  </si>
  <si>
    <t>GetDiagInjectorCyl4LoFMITypeAddr()</t>
  </si>
  <si>
    <t>GetDiagInjectorCyl4LoLightTypeAddr()</t>
  </si>
  <si>
    <t>CeDIAG_INJ4_ShortLo</t>
  </si>
  <si>
    <t>D_InjectorCyl4LoLightType</t>
  </si>
  <si>
    <r>
      <t>喷</t>
    </r>
    <r>
      <rPr>
        <sz val="10"/>
        <rFont val="Malgun Gothic"/>
        <charset val="134"/>
      </rPr>
      <t>射器4短接高</t>
    </r>
  </si>
  <si>
    <t>Cylinder 4 Injector Circuit High</t>
  </si>
  <si>
    <t>0x0271</t>
  </si>
  <si>
    <t>GetDiagInjectorCyl4HiLoFMITypeAddr()</t>
  </si>
  <si>
    <t>GetDiagInjectorCyl4HiLoLightTypeAddr()</t>
  </si>
  <si>
    <t>CeDIAG_INJ4_ShortHi</t>
  </si>
  <si>
    <t>D_InjectorCyl4HiLoLightType</t>
  </si>
  <si>
    <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号丢</t>
    </r>
    <r>
      <rPr>
        <sz val="10"/>
        <rFont val="Malgun Gothic"/>
        <charset val="134"/>
      </rPr>
      <t>失</t>
    </r>
  </si>
  <si>
    <t>Crank loss</t>
  </si>
  <si>
    <t>0x0337</t>
  </si>
  <si>
    <t>GetDiagCrankSignalLossFMITypeAddr()</t>
  </si>
  <si>
    <t>GetDiagCrankSignalLossLightTypeAddr()</t>
  </si>
  <si>
    <t>CeDIAG_Crank_loss</t>
  </si>
  <si>
    <t>D_CrankSignalLossLightType</t>
  </si>
  <si>
    <t>D_CrankSignalEnb</t>
  </si>
  <si>
    <t>CrkNoisyFailMet
CrkNoSigFailMet
CrkNoisyDiagEnb
CrkNoisyTestComp
CrkNoisyTestFail
CrkNoSigDiagEnb
CrkNoSigTestFail
CrkNoSigTestComp
CrkNoisyPassCnt
CrkNoisyFailCnt</t>
  </si>
  <si>
    <t>D_CrankSignalEnb
D_CrankNoSignalDeltaMAPThrsh
D_CrankNoSignalFailTimeThrsh
D_CrankNoSignalPassTimeThrsh
D_CrankNoisySignalFailTimeThrsh
D_CrankNoisySignalPassTimeThrsh
D_CrankSignalLossLightType
D_CrankSignalNoiseLightType
D_CrankSignalLossFMIType
D_CrankSignalNoiseFMIType</t>
  </si>
  <si>
    <t>CrkNoSigFailMet = 1
Condition 1:
(EngineState == RUN) AND (TimeBetweenRefEvent1 &gt; D_CrankNoSignalCountThresh)
Condition 2:
((EngineState == STALL) OR (EngineState == KEYON)) AND (No MAP fault) AND (MAP fluctuation &gt; D_CrankNoSignalDeltaMAPThrsh)
CrkNoisyFailMet = ToothErrCnt &gt; 0</t>
  </si>
  <si>
    <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</t>
    </r>
    <r>
      <rPr>
        <sz val="10"/>
        <rFont val="Malgun Gothic"/>
        <charset val="134"/>
      </rPr>
      <t>干</t>
    </r>
    <r>
      <rPr>
        <sz val="10"/>
        <rFont val="宋体"/>
        <charset val="134"/>
      </rPr>
      <t>扰</t>
    </r>
  </si>
  <si>
    <t>Crank sync noise</t>
  </si>
  <si>
    <t>0x0336</t>
  </si>
  <si>
    <t>GetDiagCrankSignalNoiseFMITypeAddr()</t>
  </si>
  <si>
    <t>GetDiagCrankSignalNoiseLightTypeAddr()</t>
  </si>
  <si>
    <t>CeDIAG_Crank_Noise</t>
  </si>
  <si>
    <t>D_CrankSignalNoiseLightType</t>
  </si>
  <si>
    <t>Cyl Event</t>
  </si>
  <si>
    <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低</t>
    </r>
  </si>
  <si>
    <t>Battery Voltage Low</t>
  </si>
  <si>
    <t>0x0562</t>
  </si>
  <si>
    <t>GetDiagBatVoltLoFMITypeAddr()</t>
  </si>
  <si>
    <t>GetDiagBatVoltLoLightTypeAddr()</t>
  </si>
  <si>
    <t>CeDIAG_SysVoltLo</t>
  </si>
  <si>
    <t>D_BatVoltLoLightType</t>
  </si>
  <si>
    <t>D_BatVoltEnb</t>
  </si>
  <si>
    <t>SystVoltLFailMet
SystVoltHFailMet
SystVoltDiagEnb
SystVoltLTestFail
SystVoltHTestFail
SystVoltHFailCount
SystVoltPassCount
SystVoltLFailCount</t>
  </si>
  <si>
    <t>D_BatVoltRangeThreshLo
D_BatVoltRangeThreshHi
D_BatVoltLowFailTimeThrsh
D_BatVoltHighFailTimeThrsh
D_BatVoltDiagPassTimeThrsh
D_BatVoltEnb
D_BatVoltLoLightType
D_BatVoltHiLightType
D_BatVoltLoFMIType
D_BatVoltHiFMIType</t>
  </si>
  <si>
    <t>SystVoltDiagEnb = (IGNState == CeIGN_ON) &amp;&amp; ((EngineState == CeENG_RUN) || (EngineState == CeENG_STALL) || (EngineState == CeENG_KEYON))
SystVoltLFailMet = (SystVoltDiagEnb) &amp;&amp; (IGNVolt &lt; D_BatVoltRangeThreshLo)
SystVoltHFailMet = (SystVoltDiagEnb) &amp;&amp; (IGNVolt &gt; D_BatVoltRangeThreshHi)</t>
  </si>
  <si>
    <t>1s</t>
  </si>
  <si>
    <t>Fuel Closed loop disabled
All output PINs diag disabled</t>
  </si>
  <si>
    <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高</t>
    </r>
  </si>
  <si>
    <t>Battery Voltage High</t>
  </si>
  <si>
    <t>0x0563</t>
  </si>
  <si>
    <t>GetDiagBatVoltHiFMITypeAddr()</t>
  </si>
  <si>
    <t>GetDiagBatVoltHiLightTypeAddr()</t>
  </si>
  <si>
    <t>CeDIAG_SysVoltHi</t>
  </si>
  <si>
    <t>D_BatVoltHiLightType</t>
  </si>
  <si>
    <t>爆震1性能</t>
  </si>
  <si>
    <t>Knock Sensor 1 Circuit Performance</t>
  </si>
  <si>
    <t>0x0326</t>
  </si>
  <si>
    <t>GetDiagKnock1SignalFMITypeAddr()</t>
  </si>
  <si>
    <t>GetDiagKnock1SignalLightTypeAddr()</t>
  </si>
  <si>
    <t>CeDIAG_Knock1_Performance</t>
  </si>
  <si>
    <t>D_Knock1SignalLightType</t>
  </si>
  <si>
    <t>D_Knock1SignalEnb</t>
  </si>
  <si>
    <t>爆震2性能</t>
  </si>
  <si>
    <t>Knock Sensor 2 Circuit Performance</t>
  </si>
  <si>
    <t>0x0331</t>
  </si>
  <si>
    <t>GetDiagKnock2SignalFMITypeAddr()</t>
  </si>
  <si>
    <t>GetDiagKnock2SignalLightTypeAddr()</t>
  </si>
  <si>
    <t>CeDIAG_Knock2_Performance</t>
  </si>
  <si>
    <t>D_Knock2SignalLightType</t>
  </si>
  <si>
    <t>D_Knock2SignalEnb</t>
  </si>
  <si>
    <t>燃料修正高</t>
  </si>
  <si>
    <t>Fuel trim high</t>
  </si>
  <si>
    <t>0x1151</t>
  </si>
  <si>
    <t>GetDiagTrimHiFMITypeAddr()</t>
  </si>
  <si>
    <t>GetDiagTrimHiLightTypeAddr()</t>
  </si>
  <si>
    <t>CeDIAG_CL_Trim_high</t>
  </si>
  <si>
    <t>D_TrimHiLightType</t>
  </si>
  <si>
    <t>D_BLM_TrimEnb</t>
  </si>
  <si>
    <t>BLM_TrimLoCellCnt
BLM_TrimHiCellCnt
BLM_TrimLoFailMet
BLM_TrimHiFailMet
BLM_TrimDiagEnb
BLM_TrimLoTestFail
BLM_TrimLoTestComp
BLM_TrimHiTestFail
BLM_TrimHiTestComp
BLM_TrimLoFailCount
BLM_TrimLoPassCount
BLM_TrimHiFailCount
BLM_TrimHiPassCount</t>
  </si>
  <si>
    <t>D_BLM_TrimEnb
D_BLM_CellCntThresh
D_BLM_TrimHiLimit
D_BLM_TrimLoLimit
D_BLM_FailThresh
D_BLM_PassThresh
D_BLM_TrimLoLightType
D_BLM_TrimHiLightType
D_BLM_TrimLoFMIType
D_BLM_TrimHiFMIType</t>
  </si>
  <si>
    <t>BLM_TrimDiagEnb = OutDiagComEnbKeyOn
BLM_TrimLoFailMet = BLM_TrimLoCellCnt &gt;= D_BLM_CellCntThresh
BLM_TrimHiFailMet = BLM_TrimHiCellCnt &gt;= D_BLM_CellCntThresh</t>
  </si>
  <si>
    <t>燃料修正低</t>
  </si>
  <si>
    <t>Fuel trim low</t>
  </si>
  <si>
    <t>0x1152</t>
  </si>
  <si>
    <t>GetDiagTrimLoFMITypeAddr()</t>
  </si>
  <si>
    <t>GetDiagTrimLoLightTypeAddr()</t>
  </si>
  <si>
    <t>CeDIAG_CL_Trim_low</t>
  </si>
  <si>
    <t>D_TrimLoLightType</t>
  </si>
  <si>
    <t>怠速流量控制短接低</t>
  </si>
  <si>
    <t>Idle Air Control System Circuit Low</t>
  </si>
  <si>
    <t>0x0508</t>
  </si>
  <si>
    <t>GetDiagIACVShortLoFMITypeAddr()</t>
  </si>
  <si>
    <t>GetDiagIACVShortLoLightTypeAddr()</t>
  </si>
  <si>
    <t>CeDIAG_IACV_ShortLo</t>
  </si>
  <si>
    <t>D_IACVShortLoLightType</t>
  </si>
  <si>
    <t>D_IACVShortEnb</t>
  </si>
  <si>
    <t>IACVDiagEnb
IACVSLTestComp
IACVSHTestComp
IACVSLTestFail
IACVSHTestFail
IACVSLFailMet
IACVSHFailMet
IACVSLFailCount
IACVSHFailCount
IACVSLPassCount
IACVSHPassCount</t>
  </si>
  <si>
    <t>D_IACVShortEnb
D_IACVShortFailThresh
D_IACVShortPassThresh
D_IACVShortLoLightType
D_IACVShortHiLightType
D_IACVShortLoFMIType
D_IACVShortHiFMIType</t>
  </si>
  <si>
    <t>IACVDiagEnb = OutDiagComEnbKeyOn;</t>
  </si>
  <si>
    <t>怠速流量控制短接高</t>
  </si>
  <si>
    <t>Idle Air Control System Circuit High</t>
  </si>
  <si>
    <t>0x0509</t>
  </si>
  <si>
    <t>GetDiagIACVShortHiFMITypeAddr()</t>
  </si>
  <si>
    <t>GetDiagIACVShortHiLightTypeAddr()</t>
  </si>
  <si>
    <t>CeDIAG_IACV_ShortHi</t>
  </si>
  <si>
    <t>D_IACVShortHiLightType</t>
  </si>
  <si>
    <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短接低</t>
    </r>
  </si>
  <si>
    <t>Fuel Pump Secondary Circuit Low</t>
  </si>
  <si>
    <t>0x0231</t>
  </si>
  <si>
    <t>GetDiagFuelPumpShortLoFMITypeAddr()</t>
  </si>
  <si>
    <t>GetDiagFuelPumpShortLoLightTypeAddr()</t>
  </si>
  <si>
    <t>CeDIAG_FuelPump_ShortLo</t>
  </si>
  <si>
    <t>D_FuelPumpShortLoLightType</t>
  </si>
  <si>
    <t>D_FuelPumpShortEnb</t>
  </si>
  <si>
    <t>FuelPumpDiagEnb
FuelPumpSLTestComp
FuelPumpSHTestComp
FuelPumpSLTestFail
FuelPumpSHTestFail
FuelPumpSLFailMet
FuelPumpSHFailMet
FuelPumpSLFailCount
FuelPumpSHFailCount
FuelPumpSLPassCount
FuelPumpSHPassCount</t>
  </si>
  <si>
    <t>D_FuelPumpShortEnb
D_FuelPumpShortLoThresh
D_FuelPumpShortFailThresh
D_FuelPumpShortPassThresh
D_FuelPumpShortLoLightType
D_FuelPumpShortHiLightType
D_FuelPumpShortLoFMIType
D_FuelPumpShortHiFMIType</t>
  </si>
  <si>
    <t>FuelPumpDiagEnb = OutDiagComEnbKeyOn
FuelPumpSLFailMet = (FuelPumpCurr &lt; D_FuelPumpShortLoThresh) &amp;&amp; (FuelPumpLoadMet == 1)//ignore this if use relay to drive fuel pump</t>
  </si>
  <si>
    <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短接高</t>
    </r>
  </si>
  <si>
    <t>Fuel Pump Secondary Circuit High</t>
  </si>
  <si>
    <t>0x0232</t>
  </si>
  <si>
    <t>GetDiagFuelPumpShortHiFMITypeAddr()</t>
  </si>
  <si>
    <t>GetDiagFuelPumpShortHiLightTypeAddr()</t>
  </si>
  <si>
    <t>CeDIAG_FuelPump_ShortHi</t>
  </si>
  <si>
    <t>D_FuelPumpShortHiLightType</t>
  </si>
  <si>
    <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反</t>
    </r>
    <r>
      <rPr>
        <sz val="10"/>
        <rFont val="宋体"/>
        <charset val="134"/>
      </rPr>
      <t>馈错</t>
    </r>
  </si>
  <si>
    <t>Fuel Pump Primary Circuit</t>
  </si>
  <si>
    <t>0x0230</t>
  </si>
  <si>
    <t>GetDiagFPFeedbackFMITypeAddr()</t>
  </si>
  <si>
    <t>GetDiagFPFeedbackLightTypeAddr()</t>
  </si>
  <si>
    <t>CeDIAG_FuelPumpFb_Fault</t>
  </si>
  <si>
    <t>D_FPFeedbackLightType</t>
  </si>
  <si>
    <t>D_FPFeedbackInputEnb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</si>
  <si>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2短接低</t>
    </r>
  </si>
  <si>
    <t>Coolant Temperature Sensor 2 Circuit Low</t>
  </si>
  <si>
    <t>0x2184</t>
  </si>
  <si>
    <t>CeDIAG_CLT_2_ShortLo</t>
  </si>
  <si>
    <t>D_CoolTemp2ShortLoLightType</t>
  </si>
  <si>
    <t>D_CoolTemp2ShortEnb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</si>
  <si>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2短接高</t>
    </r>
  </si>
  <si>
    <t>Coolant Temperature Sensor 2 Circuit High</t>
  </si>
  <si>
    <t>0x2185</t>
  </si>
  <si>
    <t>CeDIAG_CLT_2_ShortHi</t>
  </si>
  <si>
    <t>D_CoolTemp2ShortHiLightType</t>
  </si>
  <si>
    <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短接低</t>
    </r>
  </si>
  <si>
    <t>Carbon Canister Purge Control Valve Circuit Low</t>
  </si>
  <si>
    <t>0x0444</t>
  </si>
  <si>
    <t>GetDiagCCPShortLoFMITypeAddr()</t>
  </si>
  <si>
    <t>GetDiagCCPShortLoLightTypeAddr()</t>
  </si>
  <si>
    <t>CeDIAG_CCP_ShortLo</t>
  </si>
  <si>
    <t>D_CCPShortLoLightType</t>
  </si>
  <si>
    <t>D_CCPShortEnb</t>
  </si>
  <si>
    <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短接高</t>
    </r>
  </si>
  <si>
    <t>Carbon Canister Purge Control Valve Circuit High</t>
  </si>
  <si>
    <t>0x0445</t>
  </si>
  <si>
    <t>GetDiagCCPShortHiFMITypeAddr()</t>
  </si>
  <si>
    <t>GetDiagCCPShortHiLightTypeAddr()</t>
  </si>
  <si>
    <t>CeDIAG_CCP_ShortHi</t>
  </si>
  <si>
    <t>D_CCPShortHiLightType</t>
  </si>
  <si>
    <r>
      <t>软</t>
    </r>
    <r>
      <rPr>
        <sz val="10"/>
        <rFont val="Malgun Gothic"/>
        <charset val="134"/>
      </rPr>
      <t>件</t>
    </r>
    <r>
      <rPr>
        <sz val="10"/>
        <rFont val="宋体"/>
        <charset val="134"/>
      </rPr>
      <t>错</t>
    </r>
  </si>
  <si>
    <t>ECM Software Error</t>
  </si>
  <si>
    <t>0x0606</t>
  </si>
  <si>
    <t>GetDiagSoftwareErrorFMITypeAddr()</t>
  </si>
  <si>
    <t>GetDiagSoftwareErrorLightTypeAddr()</t>
  </si>
  <si>
    <t>CeDIAG_SOFTWARE_ERROR</t>
  </si>
  <si>
    <t>D_SoftwareErrorLightType</t>
  </si>
  <si>
    <t>D_SoftwareErrorEnb</t>
  </si>
  <si>
    <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</si>
  <si>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Generator Current Sensor Circuit Low</t>
  </si>
  <si>
    <t>0x0A5B</t>
  </si>
  <si>
    <t>GetDiagACSShortLoFMITypeAddr()</t>
  </si>
  <si>
    <t>GetDiagACSShortLoLightTypeAddr()</t>
  </si>
  <si>
    <t>CeDIAG_GenCurr_ShortLo</t>
  </si>
  <si>
    <t>D_ACSShortLoLightType</t>
  </si>
  <si>
    <t>D_ACSShortEnb</t>
  </si>
  <si>
    <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</si>
  <si>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Generator Current Sensor Circuit High</t>
  </si>
  <si>
    <t>0x0A5C</t>
  </si>
  <si>
    <t>GetDiagACSShortHiFMITypeAddr()</t>
  </si>
  <si>
    <t>GetDiagACSShortHiLightTypeAddr()</t>
  </si>
  <si>
    <t>CeDIAG_GenCurr_ShortHi</t>
  </si>
  <si>
    <t>D_ACSShortHiLightType</t>
  </si>
  <si>
    <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</si>
  <si>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Water Pressure Sensor Circuit Low</t>
  </si>
  <si>
    <t>0x1621</t>
  </si>
  <si>
    <t>GetDiagWPSShortLoFMITypeAddr()</t>
  </si>
  <si>
    <t>GetDiagWPSShortLoLightTypeAddr()</t>
  </si>
  <si>
    <t>CeDIAG_WP_ShortLo</t>
  </si>
  <si>
    <t>D_WPSShortLoLightType</t>
  </si>
  <si>
    <t>D_WPSShortEnb</t>
  </si>
  <si>
    <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</si>
  <si>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Water Pressure Sensor Circuit High</t>
  </si>
  <si>
    <t>0x1622</t>
  </si>
  <si>
    <t>GetDiagWPSShortHiFMITypeAddr()</t>
  </si>
  <si>
    <t>GetDiagWPSShortHiLightTypeAddr()</t>
  </si>
  <si>
    <t>CeDIAG_WP_ShortHi</t>
  </si>
  <si>
    <t>D_WPSShortHiLightType</t>
  </si>
  <si>
    <r>
      <t>发电电压传</t>
    </r>
    <r>
      <rPr>
        <sz val="10"/>
        <rFont val="Malgun Gothic"/>
        <charset val="134"/>
      </rPr>
      <t>感器短接低</t>
    </r>
  </si>
  <si>
    <t>Generator Voltage Sensor Circuit Low</t>
  </si>
  <si>
    <t>0x063C</t>
  </si>
  <si>
    <t>GetDiagGENVLoFMITypeAddr()</t>
  </si>
  <si>
    <t>GetDiagGENVLoLightTypeAddr()</t>
  </si>
  <si>
    <t>CeDIAG_GenVolt_ShortLo</t>
  </si>
  <si>
    <t>D_GENVLoLightType</t>
  </si>
  <si>
    <t>D_GENVEnb</t>
  </si>
  <si>
    <r>
      <t>发电电压传</t>
    </r>
    <r>
      <rPr>
        <sz val="10"/>
        <rFont val="Malgun Gothic"/>
        <charset val="134"/>
      </rPr>
      <t>感器短接高</t>
    </r>
  </si>
  <si>
    <t>Generator Voltage Sensor Circuit High</t>
  </si>
  <si>
    <t>0x063D</t>
  </si>
  <si>
    <t>GetDiagGENVHiFMITypeAddr()</t>
  </si>
  <si>
    <t>GetDiagGENVHiLightTypeAddr()</t>
  </si>
  <si>
    <t>CeDIAG_GenVolt_ShortHi</t>
  </si>
  <si>
    <t>D_GENVHiLightType</t>
  </si>
  <si>
    <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位短接低</t>
    </r>
  </si>
  <si>
    <t>Gear Shift Position Circuit Low</t>
  </si>
  <si>
    <t>0x0916</t>
  </si>
  <si>
    <t>GetDiagSCIShortLoFMITypeAddr()</t>
  </si>
  <si>
    <t>GetDiagSCIShortLoLightTypeAddr()</t>
  </si>
  <si>
    <t>CeDIAG_SCI_ShortLo</t>
  </si>
  <si>
    <t>D_SCIShortLoLightType</t>
  </si>
  <si>
    <t>D_SCIShortEnb</t>
  </si>
  <si>
    <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位短接高</t>
    </r>
  </si>
  <si>
    <t>Gear Shift Position Circuit High</t>
  </si>
  <si>
    <t>0x0917</t>
  </si>
  <si>
    <t>GetDiagSCIShortHiFMITypeAddr()</t>
  </si>
  <si>
    <t>GetDiagSCIShortHiLightTypeAddr()</t>
  </si>
  <si>
    <t>CeDIAG_SCI_ShortHi</t>
  </si>
  <si>
    <t>D_SCIShortHiLightType</t>
  </si>
  <si>
    <t>超速</t>
  </si>
  <si>
    <t>Engine Overspeed</t>
  </si>
  <si>
    <t>0x0219</t>
  </si>
  <si>
    <t>GetDiagCOSFMITypeAddr()</t>
  </si>
  <si>
    <t>GetDiagCOSLightTypeAddr()</t>
  </si>
  <si>
    <t>CeDIAG_COS</t>
  </si>
  <si>
    <t>D_COSLightType</t>
  </si>
  <si>
    <t>D_COSEnb</t>
  </si>
  <si>
    <t>COSFailMet
COSDiagEnb
COSDTestComp
COSTestFail
COSPassCount
COSFailCount</t>
  </si>
  <si>
    <t>D_COSFailTimeThrsh
D_COSPassTimeThrsh
D_COSThreshHi
D_COSEnb
D_COSLightType
D_COSFMIType</t>
  </si>
  <si>
    <t>COSFailMet = EngineSpeed &gt; D_COSThreshHi</t>
  </si>
  <si>
    <r>
      <t>CO</t>
    </r>
    <r>
      <rPr>
        <sz val="10"/>
        <rFont val="宋体"/>
        <charset val="134"/>
      </rPr>
      <t>报</t>
    </r>
    <r>
      <rPr>
        <sz val="10"/>
        <rFont val="Malgun Gothic"/>
        <charset val="134"/>
      </rPr>
      <t>警</t>
    </r>
  </si>
  <si>
    <t>System Too Lean CO warning</t>
  </si>
  <si>
    <t>0x0171</t>
  </si>
  <si>
    <t>GetDiagCOAFMITypeAddr()</t>
  </si>
  <si>
    <t>GetDiagCOALightTypeAddr()</t>
  </si>
  <si>
    <t>CeDIAG_COA</t>
  </si>
  <si>
    <t>D_COALightType</t>
  </si>
  <si>
    <t>D_COAEnb</t>
  </si>
  <si>
    <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</si>
  <si>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2 Circuit Low</t>
  </si>
  <si>
    <t>0x0222</t>
  </si>
  <si>
    <t>GetDiagTPS2ShortLoFMITypeAddr()</t>
  </si>
  <si>
    <t>GetDiagTPS2ShortLoLightTypeAddr()</t>
  </si>
  <si>
    <t>CeDIAG_TPS2_ShortLo</t>
  </si>
  <si>
    <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</si>
  <si>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2 Circuit High</t>
  </si>
  <si>
    <t>0x0223</t>
  </si>
  <si>
    <t>GetDiagTPS2ShortHiFMITypeAddr()</t>
  </si>
  <si>
    <t>GetDiagTPS2ShortHiLightTypeAddr()</t>
  </si>
  <si>
    <t>CeDIAG_TPS2_ShortHi</t>
  </si>
  <si>
    <r>
      <t>节气门电</t>
    </r>
    <r>
      <rPr>
        <sz val="10"/>
        <rFont val="Malgun Gothic"/>
        <charset val="134"/>
      </rPr>
      <t>机2短接低</t>
    </r>
  </si>
  <si>
    <t xml:space="preserve">Throttle Actuator Control Motor 2 Circuit Low </t>
  </si>
  <si>
    <t>0x3102</t>
  </si>
  <si>
    <t>GetDiagDCM2ShortLoFMITypeAddr()</t>
  </si>
  <si>
    <t>GetDiagDCM2ShortLoLightTypeAddr()</t>
  </si>
  <si>
    <t>CeDIAG_TPSM2_ShortLo</t>
  </si>
  <si>
    <r>
      <t>节气门电</t>
    </r>
    <r>
      <rPr>
        <sz val="10"/>
        <rFont val="Malgun Gothic"/>
        <charset val="134"/>
      </rPr>
      <t>机2短接高</t>
    </r>
  </si>
  <si>
    <t>Throttle Actuator Control Motor 2 Circuit High</t>
  </si>
  <si>
    <t>0x3103</t>
  </si>
  <si>
    <t>GetDiagDCM2ShortHiFMITypeAddr()</t>
  </si>
  <si>
    <t>GetDiagDCM2ShortHiLightTypeAddr()</t>
  </si>
  <si>
    <t>CeDIAG_TPSM2_ShortHi</t>
  </si>
  <si>
    <r>
      <t>节气门电</t>
    </r>
    <r>
      <rPr>
        <sz val="10"/>
        <rFont val="Malgun Gothic"/>
        <charset val="134"/>
      </rPr>
      <t>机2堵</t>
    </r>
    <r>
      <rPr>
        <sz val="10"/>
        <rFont val="宋体"/>
        <charset val="134"/>
      </rPr>
      <t>转</t>
    </r>
  </si>
  <si>
    <t>Throttle Actuator Control Module 2-Stuck</t>
  </si>
  <si>
    <t>0x3108</t>
  </si>
  <si>
    <t>GetDiagTPSM2ControlFMITypeAddr()</t>
  </si>
  <si>
    <t>GetDiagTPSM2ControlLightTypeAddr()</t>
  </si>
  <si>
    <t>CeDIAG_TPSM2_Stuck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</si>
  <si>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3短接低</t>
    </r>
  </si>
  <si>
    <t>Coolant Temperature Sensor 3 Circuit Low</t>
  </si>
  <si>
    <t>0x3184</t>
  </si>
  <si>
    <t>CeDIAG_CLT_3_ShortLo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</si>
  <si>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3短接高</t>
    </r>
  </si>
  <si>
    <t>Coolant Temperature Sensor 3 Circuit High</t>
  </si>
  <si>
    <t>0x3185</t>
  </si>
  <si>
    <t>CeDIAG_CLT_3_ShortHi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</si>
  <si>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4短接低</t>
    </r>
  </si>
  <si>
    <t>Coolant Temperature Sensor 4 Circuit Low</t>
  </si>
  <si>
    <t>0x4184</t>
  </si>
  <si>
    <t>CeDIAG_CLT_4_ShortLo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</si>
  <si>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4短接高</t>
    </r>
  </si>
  <si>
    <t>Coolant Temperature Sensor 4 Circuit High</t>
  </si>
  <si>
    <t>0x4185</t>
  </si>
  <si>
    <t>CeDIAG_CLT_4_ShortHi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</si>
  <si>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5短接低</t>
    </r>
  </si>
  <si>
    <t>Coolant Temperature Sensor 5 Circuit Low</t>
  </si>
  <si>
    <t>0x5184</t>
  </si>
  <si>
    <t>CeDIAG_CLT_5_ShortLo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</si>
  <si>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5短接高</t>
    </r>
  </si>
  <si>
    <t>Coolant Temperature Sensor 5 Circuit High</t>
  </si>
  <si>
    <t>0x5185</t>
  </si>
  <si>
    <t>CeDIAG_CLT_5_ShortHi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</si>
  <si>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6短接低</t>
    </r>
  </si>
  <si>
    <t>Coolant Temperature Sensor 6 Circuit Low</t>
  </si>
  <si>
    <t>0x6184</t>
  </si>
  <si>
    <t>CeDIAG_CLT_6_ShortLo</t>
  </si>
  <si>
    <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6短接高</t>
    </r>
  </si>
  <si>
    <t>Coolant Temperature Sensor 6 Circuit High</t>
  </si>
  <si>
    <t>0x6185</t>
  </si>
  <si>
    <t>CeDIAG_CLT_6_ShortHi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</si>
</sst>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4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trike/>
      <sz val="11"/>
      <name val="宋体"/>
      <charset val="134"/>
      <scheme val="minor"/>
    </font>
    <font>
      <sz val="10"/>
      <name val="Malgun Gothic"/>
      <charset val="134"/>
    </font>
    <font>
      <sz val="10"/>
      <name val="宋体"/>
      <charset val="134"/>
    </font>
    <font>
      <strike/>
      <sz val="10"/>
      <name val="Malgun Gothic"/>
      <charset val="134"/>
    </font>
    <font>
      <sz val="11"/>
      <color rgb="FF000000"/>
      <name val="宋体"/>
      <charset val="1"/>
    </font>
    <font>
      <sz val="11"/>
      <color rgb="FF000000"/>
      <name val="宋体"/>
      <charset val="134"/>
    </font>
    <font>
      <sz val="11"/>
      <color theme="1"/>
      <name val="Malgun Gothic"/>
      <charset val="134"/>
    </font>
    <font>
      <b/>
      <sz val="11"/>
      <color theme="1"/>
      <name val="Malgun Gothic"/>
      <charset val="134"/>
    </font>
    <font>
      <sz val="11"/>
      <name val="Malgun Gothic"/>
      <charset val="134"/>
    </font>
    <font>
      <sz val="11"/>
      <color theme="4" tint="-0.25"/>
      <name val="Malgun Gothic"/>
      <charset val="134"/>
    </font>
    <font>
      <b/>
      <sz val="11"/>
      <color theme="1"/>
      <name val="宋体"/>
      <charset val="134"/>
      <scheme val="minor"/>
    </font>
    <font>
      <sz val="11"/>
      <color theme="4"/>
      <name val="Malgun Gothi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5" tint="-0.25"/>
      <name val="Malgun Gothic"/>
      <charset val="134"/>
    </font>
    <font>
      <strike/>
      <sz val="10"/>
      <name val="宋体"/>
      <charset val="134"/>
    </font>
    <font>
      <sz val="11"/>
      <color theme="4" tint="-0.25"/>
      <name val="宋体"/>
      <charset val="134"/>
    </font>
    <font>
      <u/>
      <sz val="11"/>
      <color theme="1"/>
      <name val="Malgun Gothic"/>
      <charset val="134"/>
    </font>
    <font>
      <u/>
      <sz val="11"/>
      <color theme="4" tint="-0.25"/>
      <name val="Malgun Gothic"/>
      <charset val="134"/>
    </font>
    <font>
      <sz val="11"/>
      <color theme="1"/>
      <name val="宋体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rgb="FF00A933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00A933"/>
        <bgColor rgb="FF00B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9" applyNumberFormat="0" applyAlignment="0" applyProtection="0">
      <alignment vertical="center"/>
    </xf>
    <xf numFmtId="0" fontId="24" fillId="8" borderId="8" applyNumberFormat="0" applyAlignment="0" applyProtection="0">
      <alignment vertical="center"/>
    </xf>
    <xf numFmtId="0" fontId="25" fillId="9" borderId="10" applyNumberFormat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1" fillId="0" borderId="0" xfId="0" applyFont="1" applyFill="1" applyAlignment="1" applyProtection="1">
      <protection locked="0"/>
    </xf>
    <xf numFmtId="0" fontId="1" fillId="0" borderId="0" xfId="0" applyFont="1" applyFill="1" applyAlignment="1" applyProtection="1">
      <alignment horizontal="center" vertical="center"/>
      <protection locked="0"/>
    </xf>
    <xf numFmtId="0" fontId="2" fillId="0" borderId="0" xfId="0" applyFont="1" applyFill="1" applyAlignment="1" applyProtection="1">
      <protection locked="0"/>
    </xf>
    <xf numFmtId="0" fontId="1" fillId="0" borderId="0" xfId="0" applyFont="1" applyFill="1" applyAlignment="1">
      <alignment horizontal="left"/>
    </xf>
    <xf numFmtId="0" fontId="1" fillId="0" borderId="0" xfId="0" applyFont="1" applyFill="1" applyAlignment="1"/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 readingOrder="1"/>
    </xf>
    <xf numFmtId="0" fontId="1" fillId="0" borderId="0" xfId="0" applyFont="1" applyFill="1" applyAlignment="1">
      <alignment horizontal="left" vertical="top" readingOrder="1"/>
    </xf>
    <xf numFmtId="0" fontId="3" fillId="0" borderId="0" xfId="0" applyFont="1" applyFill="1" applyAlignment="1" applyProtection="1">
      <alignment horizontal="left"/>
      <protection locked="0"/>
    </xf>
    <xf numFmtId="0" fontId="3" fillId="0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alignment horizontal="center"/>
      <protection locked="0"/>
    </xf>
    <xf numFmtId="0" fontId="3" fillId="0" borderId="1" xfId="0" applyFont="1" applyFill="1" applyBorder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 textRotation="90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textRotation="90"/>
      <protection locked="0"/>
    </xf>
    <xf numFmtId="0" fontId="4" fillId="0" borderId="0" xfId="0" applyFont="1" applyFill="1" applyAlignment="1" applyProtection="1">
      <alignment horizontal="left"/>
      <protection locked="0"/>
    </xf>
    <xf numFmtId="0" fontId="3" fillId="0" borderId="1" xfId="0" applyFont="1" applyFill="1" applyBorder="1" applyAlignment="1"/>
    <xf numFmtId="0" fontId="3" fillId="0" borderId="1" xfId="0" applyFont="1" applyFill="1" applyBorder="1" applyAlignment="1"/>
    <xf numFmtId="0" fontId="3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left"/>
    </xf>
    <xf numFmtId="0" fontId="3" fillId="0" borderId="0" xfId="0" applyFont="1" applyFill="1" applyAlignment="1" applyProtection="1">
      <protection locked="0"/>
    </xf>
    <xf numFmtId="0" fontId="3" fillId="0" borderId="1" xfId="0" applyFont="1" applyFill="1" applyBorder="1" applyAlignment="1" applyProtection="1">
      <alignment horizontal="left"/>
      <protection locked="0"/>
    </xf>
    <xf numFmtId="49" fontId="3" fillId="0" borderId="1" xfId="0" applyNumberFormat="1" applyFont="1" applyFill="1" applyBorder="1" applyAlignment="1" applyProtection="1">
      <alignment horizontal="center"/>
      <protection locked="0"/>
    </xf>
    <xf numFmtId="0" fontId="3" fillId="0" borderId="1" xfId="0" applyFont="1" applyFill="1" applyBorder="1" applyAlignment="1" applyProtection="1">
      <alignment horizontal="left" vertical="center"/>
      <protection locked="0"/>
    </xf>
    <xf numFmtId="0" fontId="5" fillId="0" borderId="0" xfId="0" applyFont="1" applyFill="1" applyAlignment="1" applyProtection="1">
      <alignment horizontal="left"/>
      <protection locked="0"/>
    </xf>
    <xf numFmtId="0" fontId="3" fillId="0" borderId="0" xfId="0" applyFont="1" applyFill="1" applyAlignment="1"/>
    <xf numFmtId="0" fontId="5" fillId="0" borderId="2" xfId="0" applyFont="1" applyFill="1" applyBorder="1" applyAlignment="1"/>
    <xf numFmtId="0" fontId="5" fillId="0" borderId="2" xfId="0" applyFont="1" applyFill="1" applyBorder="1" applyAlignment="1">
      <alignment horizontal="center"/>
    </xf>
    <xf numFmtId="0" fontId="5" fillId="0" borderId="0" xfId="0" applyFont="1" applyFill="1" applyAlignment="1">
      <alignment horizontal="left"/>
    </xf>
    <xf numFmtId="0" fontId="5" fillId="0" borderId="0" xfId="0" applyFont="1" applyFill="1" applyAlignment="1" applyProtection="1">
      <protection locked="0"/>
    </xf>
    <xf numFmtId="0" fontId="5" fillId="0" borderId="3" xfId="0" applyFont="1" applyFill="1" applyBorder="1" applyAlignment="1"/>
    <xf numFmtId="0" fontId="5" fillId="0" borderId="3" xfId="0" applyFont="1" applyFill="1" applyBorder="1" applyAlignment="1">
      <alignment horizontal="center"/>
    </xf>
    <xf numFmtId="0" fontId="3" fillId="0" borderId="2" xfId="0" applyFont="1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3" xfId="0" applyFont="1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1" xfId="0" applyFont="1" applyFill="1" applyBorder="1" applyAlignment="1" applyProtection="1">
      <alignment horizontal="left" readingOrder="1"/>
      <protection locked="0"/>
    </xf>
    <xf numFmtId="0" fontId="3" fillId="0" borderId="1" xfId="0" applyFont="1" applyFill="1" applyBorder="1" applyAlignment="1" applyProtection="1">
      <alignment horizontal="left" vertical="top" readingOrder="1"/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left" wrapText="1" readingOrder="1"/>
      <protection locked="0"/>
    </xf>
    <xf numFmtId="0" fontId="3" fillId="0" borderId="1" xfId="0" applyFont="1" applyFill="1" applyBorder="1" applyAlignment="1" applyProtection="1">
      <alignment horizontal="left" vertical="top" wrapText="1" readingOrder="1"/>
      <protection locked="0"/>
    </xf>
    <xf numFmtId="0" fontId="3" fillId="0" borderId="1" xfId="0" applyFont="1" applyFill="1" applyBorder="1" applyAlignment="1" applyProtection="1">
      <alignment horizontal="center" wrapText="1"/>
      <protection locked="0"/>
    </xf>
    <xf numFmtId="0" fontId="3" fillId="0" borderId="1" xfId="0" applyFont="1" applyFill="1" applyBorder="1" applyAlignment="1" applyProtection="1">
      <alignment wrapText="1" readingOrder="1"/>
      <protection locked="0"/>
    </xf>
    <xf numFmtId="0" fontId="3" fillId="0" borderId="1" xfId="0" applyFont="1" applyFill="1" applyBorder="1" applyAlignment="1" applyProtection="1">
      <alignment horizontal="left" wrapText="1" readingOrder="1"/>
      <protection locked="0"/>
    </xf>
    <xf numFmtId="0" fontId="3" fillId="0" borderId="1" xfId="0" applyFont="1" applyFill="1" applyBorder="1" applyAlignment="1" applyProtection="1">
      <alignment horizontal="left" readingOrder="1"/>
      <protection locked="0"/>
    </xf>
    <xf numFmtId="0" fontId="5" fillId="0" borderId="0" xfId="0" applyFont="1" applyFill="1" applyAlignment="1" applyProtection="1">
      <alignment horizontal="left" readingOrder="1"/>
      <protection locked="0"/>
    </xf>
    <xf numFmtId="0" fontId="5" fillId="0" borderId="0" xfId="0" applyFont="1" applyFill="1" applyAlignment="1" applyProtection="1">
      <alignment horizontal="left" vertical="top" readingOrder="1"/>
      <protection locked="0"/>
    </xf>
    <xf numFmtId="0" fontId="3" fillId="0" borderId="0" xfId="0" applyFont="1" applyFill="1" applyAlignment="1" applyProtection="1">
      <alignment horizontal="left" wrapText="1" readingOrder="1"/>
      <protection locked="0"/>
    </xf>
    <xf numFmtId="0" fontId="3" fillId="0" borderId="0" xfId="0" applyFont="1" applyFill="1" applyAlignment="1" applyProtection="1">
      <alignment horizontal="left" vertical="top" readingOrder="1"/>
      <protection locked="0"/>
    </xf>
    <xf numFmtId="0" fontId="3" fillId="0" borderId="0" xfId="0" applyFont="1" applyFill="1" applyAlignment="1" applyProtection="1">
      <alignment horizontal="left" readingOrder="1"/>
      <protection locked="0"/>
    </xf>
    <xf numFmtId="0" fontId="3" fillId="0" borderId="0" xfId="0" applyFont="1" applyFill="1" applyAlignment="1" applyProtection="1">
      <alignment wrapText="1"/>
      <protection locked="0"/>
    </xf>
    <xf numFmtId="0" fontId="3" fillId="0" borderId="1" xfId="0" applyFont="1" applyFill="1" applyBorder="1" applyAlignment="1" applyProtection="1">
      <alignment horizontal="left" vertical="top" wrapText="1" readingOrder="1"/>
      <protection locked="0"/>
    </xf>
    <xf numFmtId="0" fontId="3" fillId="0" borderId="3" xfId="0" applyFont="1" applyFill="1" applyBorder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left" vertical="top" wrapText="1" readingOrder="1"/>
      <protection locked="0"/>
    </xf>
    <xf numFmtId="0" fontId="3" fillId="0" borderId="0" xfId="0" applyFont="1" applyFill="1" applyAlignment="1">
      <alignment horizontal="left" readingOrder="1"/>
    </xf>
    <xf numFmtId="0" fontId="3" fillId="0" borderId="0" xfId="0" applyFont="1" applyFill="1" applyAlignment="1">
      <alignment horizontal="left" vertical="top" readingOrder="1"/>
    </xf>
    <xf numFmtId="0" fontId="0" fillId="0" borderId="0" xfId="0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10" fontId="6" fillId="0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76" fontId="6" fillId="3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0" fillId="4" borderId="0" xfId="0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>
      <alignment vertical="center"/>
    </xf>
    <xf numFmtId="0" fontId="8" fillId="0" borderId="0" xfId="0" applyFont="1" applyAlignment="1">
      <alignment horizontal="left" vertical="center" wrapText="1"/>
    </xf>
    <xf numFmtId="0" fontId="12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/>
    </xf>
    <xf numFmtId="0" fontId="13" fillId="0" borderId="0" xfId="0" applyFont="1">
      <alignment vertical="center"/>
    </xf>
    <xf numFmtId="0" fontId="8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49" fontId="3" fillId="0" borderId="1" xfId="0" applyNumberFormat="1" applyFont="1" applyFill="1" applyBorder="1" applyAlignment="1" applyProtection="1" quotePrefix="1">
      <alignment horizontal="center"/>
      <protection locked="0"/>
    </xf>
    <xf numFmtId="0" fontId="3" fillId="0" borderId="1" xfId="0" applyFont="1" applyFill="1" applyBorder="1" applyAlignment="1" applyProtection="1" quotePrefix="1">
      <alignment horizontal="left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E:\EControls\v580\4G_cal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irSmoke"/>
      <sheetName val="Altitude"/>
      <sheetName val="Boost"/>
      <sheetName val="Cam"/>
      <sheetName val="Catalyst"/>
      <sheetName val="CL"/>
      <sheetName val="ColdStart"/>
      <sheetName val="Comms"/>
      <sheetName val="DBW"/>
      <sheetName val="Derate"/>
      <sheetName val="DiagConfig"/>
      <sheetName val="Diagnostics"/>
      <sheetName val="DieselMode"/>
      <sheetName val="DPF"/>
      <sheetName val="EGR"/>
      <sheetName val="Estimators"/>
      <sheetName val="FuelRail"/>
      <sheetName val="Fuel"/>
      <sheetName val="Governor"/>
      <sheetName val="Inputs"/>
      <sheetName val="IOMap"/>
      <sheetName val="Knock"/>
      <sheetName val="Marine"/>
      <sheetName val="Miscellaneous"/>
      <sheetName val="Monitors"/>
      <sheetName val="Outputs"/>
      <sheetName val="Phi"/>
      <sheetName val="QTgeneric"/>
      <sheetName val="QTpilot2"/>
      <sheetName val="QTpilot1"/>
      <sheetName val="QTmain"/>
      <sheetName val="QTpost1"/>
      <sheetName val="QTpost2"/>
      <sheetName val="Roadspeed"/>
      <sheetName val="Spark"/>
      <sheetName val="Starting"/>
      <sheetName val="Tests"/>
      <sheetName val="Transient"/>
      <sheetName val="VE"/>
      <sheetName val="Ref-DTC"/>
      <sheetName val="Ref-EuroVI"/>
      <sheetName val="Ref-CARB1971.1"/>
      <sheetName val="Ref-Simulink"/>
      <sheetName val="Checksums"/>
      <sheetName val="Revisions"/>
      <sheetName val="ECIon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3"/>
  <sheetViews>
    <sheetView workbookViewId="0">
      <selection activeCell="M5" sqref="M5"/>
    </sheetView>
  </sheetViews>
  <sheetFormatPr defaultColWidth="9" defaultRowHeight="16.5"/>
  <cols>
    <col min="1" max="1" width="9.00833333333333" style="71" customWidth="1"/>
    <col min="2" max="2" width="21.125" style="71" customWidth="1"/>
    <col min="3" max="7" width="9.00833333333333" style="71" customWidth="1"/>
    <col min="8" max="16384" width="9" style="71"/>
  </cols>
  <sheetData>
    <row r="2" spans="2:3">
      <c r="B2" s="71" t="s">
        <v>0</v>
      </c>
      <c r="C2" s="88" t="s">
        <v>1</v>
      </c>
    </row>
    <row r="3" spans="3:3">
      <c r="C3" s="89"/>
    </row>
    <row r="4" spans="2:9">
      <c r="B4" s="90" t="s">
        <v>2</v>
      </c>
      <c r="C4" s="91" t="s">
        <v>3</v>
      </c>
      <c r="D4" s="91" t="s">
        <v>4</v>
      </c>
      <c r="E4" s="91" t="s">
        <v>5</v>
      </c>
      <c r="F4" s="91" t="s">
        <v>6</v>
      </c>
      <c r="G4" s="91" t="s">
        <v>7</v>
      </c>
      <c r="H4" s="91" t="s">
        <v>8</v>
      </c>
      <c r="I4" s="91" t="s">
        <v>9</v>
      </c>
    </row>
    <row r="5" spans="2:9">
      <c r="B5" s="91" t="s">
        <v>10</v>
      </c>
      <c r="C5" s="91" t="s">
        <v>11</v>
      </c>
      <c r="D5" s="91" t="s">
        <v>11</v>
      </c>
      <c r="E5" s="91" t="s">
        <v>11</v>
      </c>
      <c r="F5" s="91" t="s">
        <v>11</v>
      </c>
      <c r="G5" s="91" t="s">
        <v>11</v>
      </c>
      <c r="H5" s="91" t="s">
        <v>11</v>
      </c>
      <c r="I5" s="91" t="s">
        <v>11</v>
      </c>
    </row>
    <row r="6" spans="2:9">
      <c r="B6" s="91" t="s">
        <v>12</v>
      </c>
      <c r="C6" s="91" t="s">
        <v>11</v>
      </c>
      <c r="D6" s="91" t="s">
        <v>11</v>
      </c>
      <c r="E6" s="91" t="s">
        <v>11</v>
      </c>
      <c r="F6" s="91" t="s">
        <v>11</v>
      </c>
      <c r="G6" s="91" t="s">
        <v>11</v>
      </c>
      <c r="H6" s="91" t="s">
        <v>11</v>
      </c>
      <c r="I6" s="91" t="s">
        <v>11</v>
      </c>
    </row>
    <row r="7" spans="2:9">
      <c r="B7" s="91" t="s">
        <v>13</v>
      </c>
      <c r="C7" s="91" t="s">
        <v>11</v>
      </c>
      <c r="D7" s="91" t="s">
        <v>11</v>
      </c>
      <c r="E7" s="91" t="s">
        <v>11</v>
      </c>
      <c r="F7" s="91" t="s">
        <v>11</v>
      </c>
      <c r="G7" s="91" t="s">
        <v>11</v>
      </c>
      <c r="H7" s="91" t="s">
        <v>11</v>
      </c>
      <c r="I7" s="91" t="s">
        <v>11</v>
      </c>
    </row>
    <row r="8" spans="2:9">
      <c r="B8" s="91" t="s">
        <v>14</v>
      </c>
      <c r="C8" s="91" t="s">
        <v>11</v>
      </c>
      <c r="D8" s="91" t="s">
        <v>11</v>
      </c>
      <c r="E8" s="91" t="s">
        <v>11</v>
      </c>
      <c r="F8" s="91" t="s">
        <v>11</v>
      </c>
      <c r="G8" s="91" t="s">
        <v>11</v>
      </c>
      <c r="H8" s="91" t="s">
        <v>11</v>
      </c>
      <c r="I8" s="91" t="s">
        <v>11</v>
      </c>
    </row>
    <row r="9" spans="2:9">
      <c r="B9" s="91" t="s">
        <v>15</v>
      </c>
      <c r="C9" s="91" t="s">
        <v>11</v>
      </c>
      <c r="D9" s="91" t="s">
        <v>11</v>
      </c>
      <c r="E9" s="91" t="s">
        <v>11</v>
      </c>
      <c r="F9" s="91" t="s">
        <v>11</v>
      </c>
      <c r="G9" s="91" t="s">
        <v>11</v>
      </c>
      <c r="H9" s="91" t="s">
        <v>11</v>
      </c>
      <c r="I9" s="91" t="s">
        <v>11</v>
      </c>
    </row>
    <row r="10" spans="2:9">
      <c r="B10" s="91" t="s">
        <v>16</v>
      </c>
      <c r="C10" s="91" t="s">
        <v>11</v>
      </c>
      <c r="D10" s="91" t="s">
        <v>11</v>
      </c>
      <c r="E10" s="91" t="s">
        <v>11</v>
      </c>
      <c r="F10" s="91" t="s">
        <v>11</v>
      </c>
      <c r="G10" s="91" t="s">
        <v>11</v>
      </c>
      <c r="H10" s="91" t="s">
        <v>11</v>
      </c>
      <c r="I10" s="91" t="s">
        <v>11</v>
      </c>
    </row>
    <row r="11" spans="2:9">
      <c r="B11" s="91" t="s">
        <v>17</v>
      </c>
      <c r="C11" s="91" t="s">
        <v>11</v>
      </c>
      <c r="D11" s="91" t="s">
        <v>11</v>
      </c>
      <c r="E11" s="91" t="s">
        <v>11</v>
      </c>
      <c r="F11" s="91" t="s">
        <v>11</v>
      </c>
      <c r="G11" s="91" t="s">
        <v>11</v>
      </c>
      <c r="H11" s="91" t="s">
        <v>11</v>
      </c>
      <c r="I11" s="91" t="s">
        <v>11</v>
      </c>
    </row>
    <row r="12" spans="2:9">
      <c r="B12" s="92"/>
      <c r="C12" s="92"/>
      <c r="D12" s="92"/>
      <c r="E12" s="92"/>
      <c r="F12" s="92"/>
      <c r="G12" s="92"/>
      <c r="H12" s="92"/>
      <c r="I12" s="92"/>
    </row>
    <row r="13" spans="2:9">
      <c r="B13" s="93" t="s">
        <v>18</v>
      </c>
      <c r="C13" s="92" t="s">
        <v>19</v>
      </c>
      <c r="D13" s="92"/>
      <c r="E13" s="92"/>
      <c r="F13" s="92"/>
      <c r="G13" s="92"/>
      <c r="H13" s="92"/>
      <c r="I13" s="92"/>
    </row>
    <row r="14" spans="2:9">
      <c r="B14" s="93"/>
      <c r="C14" s="92"/>
      <c r="D14" s="92"/>
      <c r="E14" s="92"/>
      <c r="F14" s="92"/>
      <c r="G14" s="92"/>
      <c r="H14" s="92"/>
      <c r="I14" s="92"/>
    </row>
    <row r="15" spans="2:9">
      <c r="B15" s="90" t="s">
        <v>20</v>
      </c>
      <c r="C15" s="90" t="s">
        <v>10</v>
      </c>
      <c r="D15" s="90" t="s">
        <v>12</v>
      </c>
      <c r="E15" s="90" t="s">
        <v>13</v>
      </c>
      <c r="F15" s="90" t="s">
        <v>14</v>
      </c>
      <c r="G15" s="90" t="s">
        <v>15</v>
      </c>
      <c r="H15" s="90" t="s">
        <v>16</v>
      </c>
      <c r="I15" s="90" t="s">
        <v>17</v>
      </c>
    </row>
    <row r="16" spans="2:9">
      <c r="B16" s="90" t="s">
        <v>21</v>
      </c>
      <c r="C16" s="90" t="s">
        <v>11</v>
      </c>
      <c r="D16" s="90" t="s">
        <v>11</v>
      </c>
      <c r="E16" s="90" t="s">
        <v>11</v>
      </c>
      <c r="F16" s="90" t="s">
        <v>11</v>
      </c>
      <c r="G16" s="90" t="s">
        <v>11</v>
      </c>
      <c r="H16" s="90" t="s">
        <v>11</v>
      </c>
      <c r="I16" s="90" t="s">
        <v>11</v>
      </c>
    </row>
    <row r="20" spans="2:4">
      <c r="B20" s="71" t="s">
        <v>22</v>
      </c>
      <c r="C20" s="71"/>
      <c r="D20" s="73"/>
    </row>
    <row r="21" spans="4:4">
      <c r="D21" s="73"/>
    </row>
    <row r="22" spans="4:4">
      <c r="D22" s="73"/>
    </row>
    <row r="23" spans="4:4">
      <c r="D23" s="7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B92" sqref="B92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6.625" style="71" customWidth="1"/>
    <col min="4" max="4" width="120.5" style="73" customWidth="1"/>
    <col min="5" max="16384" width="9" style="71"/>
  </cols>
  <sheetData>
    <row r="1" spans="1:2">
      <c r="A1" s="70" t="s">
        <v>23</v>
      </c>
      <c r="B1" s="70" t="s">
        <v>24</v>
      </c>
    </row>
    <row r="2" spans="2:2">
      <c r="B2" s="76" t="s">
        <v>25</v>
      </c>
    </row>
    <row r="4" spans="1:2">
      <c r="A4" s="70" t="s">
        <v>26</v>
      </c>
      <c r="B4" s="80" t="s">
        <v>27</v>
      </c>
    </row>
    <row r="6" spans="3:4">
      <c r="C6" s="71" t="s">
        <v>28</v>
      </c>
      <c r="D6" s="73" t="s">
        <v>29</v>
      </c>
    </row>
    <row r="7" spans="3:4">
      <c r="C7" s="71" t="s">
        <v>30</v>
      </c>
      <c r="D7" s="73" t="s">
        <v>31</v>
      </c>
    </row>
    <row r="9" spans="1:2">
      <c r="A9" s="70" t="s">
        <v>32</v>
      </c>
      <c r="B9" s="80" t="s">
        <v>33</v>
      </c>
    </row>
    <row r="10" spans="3:4">
      <c r="C10" s="71" t="s">
        <v>34</v>
      </c>
      <c r="D10" s="73" t="s">
        <v>35</v>
      </c>
    </row>
    <row r="12" spans="1:2">
      <c r="A12" s="70" t="s">
        <v>26</v>
      </c>
      <c r="B12" s="80" t="s">
        <v>36</v>
      </c>
    </row>
    <row r="13" spans="3:4">
      <c r="C13" s="71" t="s">
        <v>37</v>
      </c>
      <c r="D13" s="73" t="s">
        <v>38</v>
      </c>
    </row>
    <row r="14" spans="2:2">
      <c r="B14" s="80" t="s">
        <v>39</v>
      </c>
    </row>
    <row r="15" spans="3:4">
      <c r="C15" s="71" t="s">
        <v>40</v>
      </c>
      <c r="D15" s="73" t="s">
        <v>41</v>
      </c>
    </row>
    <row r="17" spans="1:2">
      <c r="A17" s="70" t="s">
        <v>42</v>
      </c>
      <c r="B17" s="80" t="s">
        <v>43</v>
      </c>
    </row>
    <row r="18" spans="3:4">
      <c r="C18" s="71" t="s">
        <v>44</v>
      </c>
      <c r="D18" s="73" t="s">
        <v>45</v>
      </c>
    </row>
    <row r="20" spans="1:2">
      <c r="A20" s="70" t="s">
        <v>46</v>
      </c>
      <c r="B20" s="80" t="s">
        <v>47</v>
      </c>
    </row>
    <row r="21" spans="3:4">
      <c r="C21" s="71" t="s">
        <v>48</v>
      </c>
      <c r="D21" s="73" t="s">
        <v>49</v>
      </c>
    </row>
    <row r="23" spans="1:2">
      <c r="A23" s="70" t="s">
        <v>42</v>
      </c>
      <c r="B23" s="71" t="s">
        <v>50</v>
      </c>
    </row>
    <row r="24" spans="3:4">
      <c r="C24" s="71" t="s">
        <v>51</v>
      </c>
      <c r="D24" s="73" t="s">
        <v>52</v>
      </c>
    </row>
    <row r="25" spans="3:4">
      <c r="C25" s="71" t="s">
        <v>53</v>
      </c>
      <c r="D25" s="73" t="s">
        <v>54</v>
      </c>
    </row>
    <row r="26" spans="1:2">
      <c r="A26" s="70" t="s">
        <v>42</v>
      </c>
      <c r="B26" s="80" t="s">
        <v>55</v>
      </c>
    </row>
    <row r="28" spans="1:2">
      <c r="A28" s="70" t="s">
        <v>42</v>
      </c>
      <c r="B28" s="80" t="s">
        <v>56</v>
      </c>
    </row>
    <row r="29" spans="3:4">
      <c r="C29" s="71" t="s">
        <v>57</v>
      </c>
      <c r="D29" s="73" t="s">
        <v>58</v>
      </c>
    </row>
    <row r="31" spans="1:2">
      <c r="A31" s="70" t="s">
        <v>42</v>
      </c>
      <c r="B31" s="80" t="s">
        <v>59</v>
      </c>
    </row>
    <row r="33" spans="2:2">
      <c r="B33" s="76" t="s">
        <v>60</v>
      </c>
    </row>
    <row r="34" spans="2:2">
      <c r="B34" s="71" t="s">
        <v>61</v>
      </c>
    </row>
    <row r="35" spans="3:4">
      <c r="C35" s="74" t="s">
        <v>62</v>
      </c>
      <c r="D35" s="83"/>
    </row>
    <row r="36" s="74" customFormat="1" spans="3:4">
      <c r="C36" s="81" t="s">
        <v>63</v>
      </c>
      <c r="D36" s="81"/>
    </row>
    <row r="37" spans="3:3">
      <c r="C37" s="73" t="s">
        <v>64</v>
      </c>
    </row>
    <row r="38" spans="3:3">
      <c r="C38" s="73" t="s">
        <v>65</v>
      </c>
    </row>
    <row r="39" spans="3:3">
      <c r="C39" s="73" t="s">
        <v>66</v>
      </c>
    </row>
    <row r="40" spans="3:3">
      <c r="C40" s="73" t="s">
        <v>67</v>
      </c>
    </row>
    <row r="41" spans="3:3">
      <c r="C41" s="73" t="s">
        <v>68</v>
      </c>
    </row>
    <row r="42" spans="3:3">
      <c r="C42" s="73" t="s">
        <v>69</v>
      </c>
    </row>
    <row r="43" spans="3:3">
      <c r="C43" s="73" t="s">
        <v>70</v>
      </c>
    </row>
    <row r="45" spans="1:2">
      <c r="A45" s="70" t="s">
        <v>32</v>
      </c>
      <c r="B45" s="80" t="s">
        <v>71</v>
      </c>
    </row>
    <row r="47" spans="3:4">
      <c r="C47" s="71" t="s">
        <v>72</v>
      </c>
      <c r="D47" s="73" t="s">
        <v>73</v>
      </c>
    </row>
    <row r="48" spans="3:4">
      <c r="C48" s="71" t="s">
        <v>74</v>
      </c>
      <c r="D48" s="73" t="s">
        <v>73</v>
      </c>
    </row>
    <row r="49" spans="3:4">
      <c r="C49" s="71" t="s">
        <v>75</v>
      </c>
      <c r="D49" s="73" t="s">
        <v>76</v>
      </c>
    </row>
    <row r="50" spans="3:4">
      <c r="C50" s="71" t="s">
        <v>77</v>
      </c>
      <c r="D50" s="73" t="s">
        <v>76</v>
      </c>
    </row>
    <row r="51" spans="3:3">
      <c r="C51" s="71" t="s">
        <v>78</v>
      </c>
    </row>
    <row r="52" spans="3:3">
      <c r="C52" s="71" t="s">
        <v>79</v>
      </c>
    </row>
    <row r="53" spans="1:2">
      <c r="A53" s="70" t="s">
        <v>32</v>
      </c>
      <c r="B53" s="80" t="s">
        <v>80</v>
      </c>
    </row>
    <row r="55" spans="1:2">
      <c r="A55" s="70" t="s">
        <v>32</v>
      </c>
      <c r="B55" s="80" t="s">
        <v>81</v>
      </c>
    </row>
    <row r="58" spans="2:2">
      <c r="B58" s="76" t="s">
        <v>82</v>
      </c>
    </row>
    <row r="60" spans="1:2">
      <c r="A60" s="70" t="s">
        <v>32</v>
      </c>
      <c r="B60" s="80" t="s">
        <v>83</v>
      </c>
    </row>
    <row r="62" spans="2:2">
      <c r="B62" s="76" t="s">
        <v>84</v>
      </c>
    </row>
    <row r="64" spans="1:2">
      <c r="A64" s="70" t="s">
        <v>32</v>
      </c>
      <c r="B64" s="80" t="s">
        <v>85</v>
      </c>
    </row>
    <row r="66" spans="1:2">
      <c r="A66" s="70" t="s">
        <v>32</v>
      </c>
      <c r="B66" s="80" t="s">
        <v>86</v>
      </c>
    </row>
    <row r="69" spans="2:2">
      <c r="B69" s="76" t="s">
        <v>87</v>
      </c>
    </row>
    <row r="71" spans="1:2">
      <c r="A71" s="70" t="s">
        <v>88</v>
      </c>
      <c r="B71" s="80" t="s">
        <v>89</v>
      </c>
    </row>
    <row r="72" spans="3:4">
      <c r="C72" s="71" t="s">
        <v>90</v>
      </c>
      <c r="D72" s="73" t="s">
        <v>91</v>
      </c>
    </row>
    <row r="74" spans="1:2">
      <c r="A74" s="70" t="s">
        <v>88</v>
      </c>
      <c r="B74" s="80" t="s">
        <v>92</v>
      </c>
    </row>
    <row r="75" spans="3:4">
      <c r="C75" s="70" t="s">
        <v>25</v>
      </c>
      <c r="D75" s="73" t="s">
        <v>93</v>
      </c>
    </row>
    <row r="76" spans="3:3">
      <c r="C76" s="71" t="s">
        <v>94</v>
      </c>
    </row>
    <row r="77" spans="3:3">
      <c r="C77" s="71" t="s">
        <v>95</v>
      </c>
    </row>
    <row r="78" spans="3:4">
      <c r="C78" s="71" t="s">
        <v>96</v>
      </c>
      <c r="D78" s="73" t="s">
        <v>97</v>
      </c>
    </row>
    <row r="80" spans="3:3">
      <c r="C80" s="71" t="s">
        <v>98</v>
      </c>
    </row>
    <row r="81" spans="3:3">
      <c r="C81" s="71" t="s">
        <v>99</v>
      </c>
    </row>
    <row r="82" spans="3:5">
      <c r="C82" s="71" t="s">
        <v>100</v>
      </c>
      <c r="E82" s="73"/>
    </row>
    <row r="83" spans="3:5">
      <c r="C83" s="71" t="s">
        <v>101</v>
      </c>
      <c r="E83" s="73"/>
    </row>
    <row r="84" spans="3:3">
      <c r="C84" s="71" t="s">
        <v>102</v>
      </c>
    </row>
    <row r="86" spans="2:2">
      <c r="B86" s="76" t="s">
        <v>103</v>
      </c>
    </row>
    <row r="87" spans="1:2">
      <c r="A87" s="70" t="s">
        <v>104</v>
      </c>
      <c r="B87" s="87" t="s">
        <v>105</v>
      </c>
    </row>
    <row r="89" spans="3:4">
      <c r="C89" s="71" t="s">
        <v>106</v>
      </c>
      <c r="D89" s="73" t="s">
        <v>107</v>
      </c>
    </row>
    <row r="90" spans="3:4">
      <c r="C90" s="71" t="s">
        <v>57</v>
      </c>
      <c r="D90" s="73" t="s">
        <v>108</v>
      </c>
    </row>
    <row r="91" spans="3:4">
      <c r="C91" s="71" t="s">
        <v>109</v>
      </c>
      <c r="D91" s="73" t="s">
        <v>110</v>
      </c>
    </row>
    <row r="92" spans="3:4">
      <c r="C92" s="71" t="s">
        <v>111</v>
      </c>
      <c r="D92" s="73" t="s">
        <v>112</v>
      </c>
    </row>
    <row r="94" spans="1:2">
      <c r="A94" s="70" t="s">
        <v>104</v>
      </c>
      <c r="B94" s="80" t="s">
        <v>113</v>
      </c>
    </row>
    <row r="96" spans="3:4">
      <c r="C96" s="71" t="s">
        <v>114</v>
      </c>
      <c r="D96" s="73" t="s">
        <v>115</v>
      </c>
    </row>
    <row r="97" spans="3:4">
      <c r="C97" s="71" t="s">
        <v>116</v>
      </c>
      <c r="D97" s="73" t="s">
        <v>117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0"/>
  <sheetViews>
    <sheetView zoomScale="85" zoomScaleNormal="85" workbookViewId="0">
      <pane xSplit="1" ySplit="1" topLeftCell="B53" activePane="bottomRight" state="frozen"/>
      <selection/>
      <selection pane="topRight"/>
      <selection pane="bottomLeft"/>
      <selection pane="bottomRight" activeCell="C50" sqref="C50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6.625" style="74" customWidth="1"/>
    <col min="4" max="4" width="120.5" style="73" customWidth="1"/>
    <col min="5" max="16384" width="9" style="71"/>
  </cols>
  <sheetData>
    <row r="1" spans="1:2">
      <c r="A1" s="70" t="s">
        <v>23</v>
      </c>
      <c r="B1" s="70" t="s">
        <v>24</v>
      </c>
    </row>
    <row r="3" spans="2:2">
      <c r="B3" s="76" t="s">
        <v>118</v>
      </c>
    </row>
    <row r="4" spans="1:2">
      <c r="A4" s="70" t="s">
        <v>119</v>
      </c>
      <c r="B4" s="87" t="s">
        <v>120</v>
      </c>
    </row>
    <row r="6" spans="3:4">
      <c r="C6" s="74" t="s">
        <v>121</v>
      </c>
      <c r="D6" s="73" t="s">
        <v>122</v>
      </c>
    </row>
    <row r="7" spans="3:4">
      <c r="C7" s="74" t="s">
        <v>123</v>
      </c>
      <c r="D7" s="73" t="s">
        <v>124</v>
      </c>
    </row>
    <row r="8" spans="3:4">
      <c r="C8" s="74" t="s">
        <v>125</v>
      </c>
      <c r="D8" s="73" t="s">
        <v>126</v>
      </c>
    </row>
    <row r="9" spans="4:4">
      <c r="D9" s="73" t="s">
        <v>127</v>
      </c>
    </row>
    <row r="10" spans="3:4">
      <c r="C10" s="74" t="s">
        <v>128</v>
      </c>
      <c r="D10" s="73" t="s">
        <v>129</v>
      </c>
    </row>
    <row r="11" spans="4:4">
      <c r="D11" s="73" t="s">
        <v>130</v>
      </c>
    </row>
    <row r="13" spans="2:2">
      <c r="B13" s="76" t="s">
        <v>131</v>
      </c>
    </row>
    <row r="14" spans="3:3">
      <c r="C14" s="79" t="s">
        <v>132</v>
      </c>
    </row>
    <row r="15" spans="3:3">
      <c r="C15" s="80" t="s">
        <v>133</v>
      </c>
    </row>
    <row r="17" spans="3:4">
      <c r="C17" s="74" t="s">
        <v>134</v>
      </c>
      <c r="D17" s="73" t="s">
        <v>122</v>
      </c>
    </row>
    <row r="18" spans="3:4">
      <c r="C18" s="74" t="s">
        <v>135</v>
      </c>
      <c r="D18" s="73" t="s">
        <v>136</v>
      </c>
    </row>
    <row r="19" spans="3:4">
      <c r="C19" s="74" t="s">
        <v>137</v>
      </c>
      <c r="D19" s="73" t="s">
        <v>138</v>
      </c>
    </row>
    <row r="20" spans="4:4">
      <c r="D20" s="73" t="s">
        <v>139</v>
      </c>
    </row>
    <row r="22" spans="3:3">
      <c r="C22" s="79" t="s">
        <v>140</v>
      </c>
    </row>
    <row r="23" spans="3:3">
      <c r="C23" s="80" t="s">
        <v>141</v>
      </c>
    </row>
    <row r="25" spans="3:3">
      <c r="C25" s="74" t="s">
        <v>142</v>
      </c>
    </row>
    <row r="26" spans="2:4">
      <c r="B26" s="76"/>
      <c r="C26" s="74" t="s">
        <v>135</v>
      </c>
      <c r="D26" s="73" t="s">
        <v>143</v>
      </c>
    </row>
    <row r="27" spans="3:4">
      <c r="C27" s="74" t="s">
        <v>137</v>
      </c>
      <c r="D27" s="73" t="s">
        <v>144</v>
      </c>
    </row>
    <row r="29" spans="3:3">
      <c r="C29" s="79" t="s">
        <v>145</v>
      </c>
    </row>
    <row r="30" spans="3:3">
      <c r="C30" s="80" t="s">
        <v>146</v>
      </c>
    </row>
    <row r="31" spans="4:4">
      <c r="D31" s="73" t="s">
        <v>147</v>
      </c>
    </row>
    <row r="32" spans="3:3">
      <c r="C32" s="74" t="s">
        <v>135</v>
      </c>
    </row>
    <row r="34" spans="3:3">
      <c r="C34" s="79" t="s">
        <v>148</v>
      </c>
    </row>
    <row r="35" spans="3:3">
      <c r="C35" s="80" t="s">
        <v>149</v>
      </c>
    </row>
    <row r="37" spans="3:4">
      <c r="C37" s="74" t="s">
        <v>135</v>
      </c>
      <c r="D37" s="81" t="s">
        <v>150</v>
      </c>
    </row>
    <row r="38" spans="3:4">
      <c r="C38" s="74" t="s">
        <v>151</v>
      </c>
      <c r="D38" s="73" t="s">
        <v>152</v>
      </c>
    </row>
    <row r="41" spans="3:3">
      <c r="C41" s="79" t="s">
        <v>153</v>
      </c>
    </row>
    <row r="43" spans="3:4">
      <c r="C43" s="74" t="s">
        <v>154</v>
      </c>
      <c r="D43" s="73" t="s">
        <v>122</v>
      </c>
    </row>
    <row r="44" spans="3:4">
      <c r="C44" s="74" t="s">
        <v>155</v>
      </c>
      <c r="D44" s="73" t="s">
        <v>156</v>
      </c>
    </row>
    <row r="45" spans="3:4">
      <c r="C45" s="74" t="s">
        <v>157</v>
      </c>
      <c r="D45" s="73" t="s">
        <v>158</v>
      </c>
    </row>
    <row r="46" spans="3:4">
      <c r="C46" s="74" t="s">
        <v>159</v>
      </c>
      <c r="D46" s="74" t="s">
        <v>160</v>
      </c>
    </row>
    <row r="47" spans="4:4">
      <c r="D47" s="74" t="s">
        <v>161</v>
      </c>
    </row>
    <row r="48" spans="3:4">
      <c r="C48" s="74" t="s">
        <v>162</v>
      </c>
      <c r="D48" s="73" t="s">
        <v>163</v>
      </c>
    </row>
    <row r="49" spans="3:4">
      <c r="C49" s="74" t="s">
        <v>164</v>
      </c>
      <c r="D49" s="81" t="s">
        <v>165</v>
      </c>
    </row>
    <row r="50" spans="3:4">
      <c r="C50" s="74" t="s">
        <v>166</v>
      </c>
      <c r="D50" s="73" t="s">
        <v>167</v>
      </c>
    </row>
    <row r="52" spans="2:2">
      <c r="B52" s="76" t="s">
        <v>168</v>
      </c>
    </row>
    <row r="54" spans="2:2">
      <c r="B54" s="80" t="s">
        <v>169</v>
      </c>
    </row>
    <row r="55" spans="3:3">
      <c r="C55" s="79" t="s">
        <v>170</v>
      </c>
    </row>
    <row r="56" spans="3:4">
      <c r="C56" s="74" t="s">
        <v>171</v>
      </c>
      <c r="D56" s="81" t="s">
        <v>172</v>
      </c>
    </row>
    <row r="57" spans="3:4">
      <c r="C57" s="74" t="s">
        <v>173</v>
      </c>
      <c r="D57" s="73" t="s">
        <v>174</v>
      </c>
    </row>
    <row r="58" spans="3:4">
      <c r="C58" s="74" t="s">
        <v>175</v>
      </c>
      <c r="D58" s="73" t="s">
        <v>176</v>
      </c>
    </row>
    <row r="59" spans="2:2">
      <c r="B59" s="76"/>
    </row>
    <row r="60" spans="3:3">
      <c r="C60" s="79" t="s">
        <v>177</v>
      </c>
    </row>
    <row r="61" spans="2:4">
      <c r="B61" s="74"/>
      <c r="C61" s="74" t="s">
        <v>178</v>
      </c>
      <c r="D61" s="74" t="s">
        <v>179</v>
      </c>
    </row>
    <row r="62" spans="3:4">
      <c r="C62" s="83" t="s">
        <v>180</v>
      </c>
      <c r="D62" s="83" t="s">
        <v>181</v>
      </c>
    </row>
    <row r="63" s="74" customFormat="1" spans="1:4">
      <c r="A63" s="70"/>
      <c r="B63" s="71"/>
      <c r="C63" s="74"/>
      <c r="D63" s="81"/>
    </row>
    <row r="64" spans="3:3">
      <c r="C64" s="76" t="s">
        <v>182</v>
      </c>
    </row>
    <row r="65" spans="3:4">
      <c r="C65" s="74" t="s">
        <v>183</v>
      </c>
      <c r="D65" s="73" t="s">
        <v>184</v>
      </c>
    </row>
    <row r="66" spans="3:4">
      <c r="C66" s="74" t="s">
        <v>185</v>
      </c>
      <c r="D66" s="73" t="s">
        <v>186</v>
      </c>
    </row>
    <row r="67" spans="3:4">
      <c r="C67" s="74" t="s">
        <v>187</v>
      </c>
      <c r="D67" s="73" t="s">
        <v>188</v>
      </c>
    </row>
    <row r="68" spans="4:4">
      <c r="D68" s="73" t="s">
        <v>189</v>
      </c>
    </row>
    <row r="69" spans="4:4">
      <c r="D69" s="73" t="s">
        <v>190</v>
      </c>
    </row>
    <row r="71" spans="3:3">
      <c r="C71" s="79" t="s">
        <v>191</v>
      </c>
    </row>
    <row r="72" spans="3:4">
      <c r="C72" s="74" t="s">
        <v>185</v>
      </c>
      <c r="D72" s="73" t="s">
        <v>192</v>
      </c>
    </row>
    <row r="73" spans="3:4">
      <c r="C73" s="74" t="s">
        <v>193</v>
      </c>
      <c r="D73" s="73" t="s">
        <v>194</v>
      </c>
    </row>
    <row r="74" spans="4:4">
      <c r="D74" s="73" t="s">
        <v>195</v>
      </c>
    </row>
    <row r="75" spans="4:4">
      <c r="D75" s="73" t="s">
        <v>196</v>
      </c>
    </row>
    <row r="85" spans="2:2">
      <c r="B85" s="76"/>
    </row>
    <row r="89" spans="2:2">
      <c r="B89" s="76"/>
    </row>
    <row r="96" spans="2:2">
      <c r="B96" s="76"/>
    </row>
    <row r="109" spans="5:5">
      <c r="E109" s="73"/>
    </row>
    <row r="110" spans="5:5">
      <c r="E110" s="7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tabSelected="1" zoomScale="85" zoomScaleNormal="85" workbookViewId="0">
      <pane xSplit="1" ySplit="1" topLeftCell="B128" activePane="bottomRight" state="frozen"/>
      <selection/>
      <selection pane="topRight"/>
      <selection pane="bottomLeft"/>
      <selection pane="bottomRight" activeCell="D158" sqref="D158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9.75" style="74" customWidth="1"/>
    <col min="4" max="4" width="120.5" style="73" customWidth="1"/>
    <col min="5" max="16384" width="9" style="71"/>
  </cols>
  <sheetData>
    <row r="1" spans="1:2">
      <c r="A1" s="70" t="s">
        <v>23</v>
      </c>
      <c r="B1" s="70" t="s">
        <v>24</v>
      </c>
    </row>
    <row r="3" spans="1:2">
      <c r="A3" s="70" t="s">
        <v>88</v>
      </c>
      <c r="B3" s="76" t="s">
        <v>197</v>
      </c>
    </row>
    <row r="4" spans="2:2">
      <c r="B4" s="74" t="s">
        <v>198</v>
      </c>
    </row>
    <row r="5" spans="3:3">
      <c r="C5" s="74" t="s">
        <v>199</v>
      </c>
    </row>
    <row r="6" spans="3:3">
      <c r="C6" s="74" t="s">
        <v>200</v>
      </c>
    </row>
    <row r="7" spans="3:3">
      <c r="C7" s="74" t="s">
        <v>201</v>
      </c>
    </row>
    <row r="8" spans="3:3">
      <c r="C8" s="74" t="s">
        <v>202</v>
      </c>
    </row>
    <row r="9" spans="3:3">
      <c r="C9" s="74" t="s">
        <v>203</v>
      </c>
    </row>
    <row r="11" spans="2:2">
      <c r="B11" s="76" t="s">
        <v>204</v>
      </c>
    </row>
    <row r="12" spans="3:3">
      <c r="C12" s="86"/>
    </row>
    <row r="13" spans="2:2">
      <c r="B13" s="74" t="s">
        <v>205</v>
      </c>
    </row>
    <row r="14" spans="3:4">
      <c r="C14" s="71" t="s">
        <v>206</v>
      </c>
      <c r="D14" s="73" t="s">
        <v>207</v>
      </c>
    </row>
    <row r="15" spans="2:3">
      <c r="B15" s="76" t="s">
        <v>208</v>
      </c>
      <c r="C15" s="80"/>
    </row>
    <row r="16" spans="2:2">
      <c r="B16" s="71" t="s">
        <v>209</v>
      </c>
    </row>
    <row r="17" spans="3:4">
      <c r="C17" s="74" t="s">
        <v>210</v>
      </c>
      <c r="D17" s="73" t="s">
        <v>211</v>
      </c>
    </row>
    <row r="18" spans="2:2">
      <c r="B18" s="71" t="s">
        <v>212</v>
      </c>
    </row>
    <row r="21" spans="1:3">
      <c r="A21" s="70" t="s">
        <v>32</v>
      </c>
      <c r="B21" s="76" t="s">
        <v>213</v>
      </c>
      <c r="C21" s="79"/>
    </row>
    <row r="22" spans="3:3">
      <c r="C22" s="80"/>
    </row>
    <row r="23" spans="3:4">
      <c r="C23" s="74" t="s">
        <v>214</v>
      </c>
      <c r="D23" s="73" t="s">
        <v>215</v>
      </c>
    </row>
    <row r="24" spans="2:4">
      <c r="B24" s="76"/>
      <c r="C24" s="74" t="s">
        <v>216</v>
      </c>
      <c r="D24" s="81" t="s">
        <v>217</v>
      </c>
    </row>
    <row r="25" spans="3:4">
      <c r="C25" s="74" t="s">
        <v>218</v>
      </c>
      <c r="D25" s="73" t="s">
        <v>219</v>
      </c>
    </row>
    <row r="26" spans="3:4">
      <c r="C26" s="74" t="s">
        <v>220</v>
      </c>
      <c r="D26" s="73" t="s">
        <v>221</v>
      </c>
    </row>
    <row r="27" spans="3:4">
      <c r="C27" s="74" t="s">
        <v>222</v>
      </c>
      <c r="D27" s="73" t="s">
        <v>223</v>
      </c>
    </row>
    <row r="28" spans="3:4">
      <c r="C28" s="77" t="s">
        <v>224</v>
      </c>
      <c r="D28" s="73" t="s">
        <v>225</v>
      </c>
    </row>
    <row r="29" spans="3:4">
      <c r="C29" s="74" t="s">
        <v>226</v>
      </c>
      <c r="D29" s="73" t="s">
        <v>227</v>
      </c>
    </row>
    <row r="30" spans="3:4">
      <c r="C30" s="74" t="s">
        <v>228</v>
      </c>
      <c r="D30" s="73" t="s">
        <v>229</v>
      </c>
    </row>
    <row r="31" spans="3:4">
      <c r="C31" s="74" t="s">
        <v>230</v>
      </c>
      <c r="D31" s="73" t="s">
        <v>231</v>
      </c>
    </row>
    <row r="32" spans="3:3">
      <c r="C32" s="79"/>
    </row>
    <row r="33" spans="1:3">
      <c r="A33" s="70" t="s">
        <v>32</v>
      </c>
      <c r="B33" s="76" t="s">
        <v>232</v>
      </c>
      <c r="C33" s="80"/>
    </row>
    <row r="34" spans="2:2">
      <c r="B34" s="71" t="s">
        <v>233</v>
      </c>
    </row>
    <row r="36" spans="1:2">
      <c r="A36" s="70" t="s">
        <v>32</v>
      </c>
      <c r="B36" s="76" t="s">
        <v>234</v>
      </c>
    </row>
    <row r="37" spans="3:3">
      <c r="C37" s="86"/>
    </row>
    <row r="38" spans="2:4">
      <c r="B38" s="74" t="s">
        <v>235</v>
      </c>
      <c r="D38" s="74"/>
    </row>
    <row r="39" spans="2:2">
      <c r="B39" s="73" t="s">
        <v>236</v>
      </c>
    </row>
    <row r="40" spans="2:2">
      <c r="B40" s="74" t="s">
        <v>237</v>
      </c>
    </row>
    <row r="41" spans="3:4">
      <c r="C41" s="74" t="s">
        <v>238</v>
      </c>
      <c r="D41" s="73" t="s">
        <v>239</v>
      </c>
    </row>
    <row r="42" spans="3:4">
      <c r="C42" s="86"/>
      <c r="D42" s="74"/>
    </row>
    <row r="43" spans="2:2">
      <c r="B43" s="74" t="s">
        <v>240</v>
      </c>
    </row>
    <row r="44" spans="2:2">
      <c r="B44" s="74" t="s">
        <v>241</v>
      </c>
    </row>
    <row r="45" spans="3:4">
      <c r="C45" s="74" t="s">
        <v>242</v>
      </c>
      <c r="D45" s="81" t="s">
        <v>243</v>
      </c>
    </row>
    <row r="46" spans="2:2">
      <c r="B46" s="76"/>
    </row>
    <row r="47" spans="1:2">
      <c r="A47" s="70" t="s">
        <v>32</v>
      </c>
      <c r="B47" s="76" t="s">
        <v>244</v>
      </c>
    </row>
    <row r="48" spans="2:2">
      <c r="B48" s="77" t="s">
        <v>245</v>
      </c>
    </row>
    <row r="49" spans="3:3">
      <c r="C49" s="78" t="s">
        <v>246</v>
      </c>
    </row>
    <row r="50" spans="3:4">
      <c r="C50" s="74" t="s">
        <v>247</v>
      </c>
      <c r="D50" s="81"/>
    </row>
    <row r="51" spans="3:3">
      <c r="C51" s="74" t="s">
        <v>248</v>
      </c>
    </row>
    <row r="52" spans="3:3">
      <c r="C52" s="74" t="s">
        <v>249</v>
      </c>
    </row>
    <row r="53" spans="2:2">
      <c r="B53" s="76"/>
    </row>
    <row r="54" spans="1:3">
      <c r="A54" s="70" t="s">
        <v>32</v>
      </c>
      <c r="B54" s="76" t="s">
        <v>250</v>
      </c>
      <c r="C54" s="79"/>
    </row>
    <row r="55" s="74" customFormat="1" spans="2:4">
      <c r="B55" s="71" t="s">
        <v>251</v>
      </c>
      <c r="C55" s="83"/>
      <c r="D55" s="71"/>
    </row>
    <row r="56" s="74" customFormat="1" spans="2:3">
      <c r="B56" s="74" t="s">
        <v>252</v>
      </c>
      <c r="C56" s="83"/>
    </row>
    <row r="57" spans="2:2">
      <c r="B57" s="71" t="s">
        <v>253</v>
      </c>
    </row>
    <row r="58" spans="3:4">
      <c r="C58" s="74" t="s">
        <v>254</v>
      </c>
      <c r="D58" s="74" t="s">
        <v>255</v>
      </c>
    </row>
    <row r="59" spans="3:4">
      <c r="C59" s="74" t="s">
        <v>256</v>
      </c>
      <c r="D59" s="73" t="s">
        <v>257</v>
      </c>
    </row>
    <row r="60" spans="4:4">
      <c r="D60" s="73" t="s">
        <v>258</v>
      </c>
    </row>
    <row r="61" spans="3:4">
      <c r="C61" s="74" t="s">
        <v>259</v>
      </c>
      <c r="D61" s="73" t="s">
        <v>260</v>
      </c>
    </row>
    <row r="63" spans="1:3">
      <c r="A63" s="70" t="s">
        <v>32</v>
      </c>
      <c r="B63" s="76" t="s">
        <v>261</v>
      </c>
      <c r="C63" s="79"/>
    </row>
    <row r="64" spans="2:2">
      <c r="B64" s="71" t="s">
        <v>262</v>
      </c>
    </row>
    <row r="65" spans="2:2">
      <c r="B65" s="71" t="s">
        <v>263</v>
      </c>
    </row>
    <row r="67" spans="3:3">
      <c r="C67" s="74" t="s">
        <v>264</v>
      </c>
    </row>
    <row r="68" spans="3:4">
      <c r="C68" s="74" t="s">
        <v>265</v>
      </c>
      <c r="D68" s="73" t="s">
        <v>266</v>
      </c>
    </row>
    <row r="69" spans="3:4">
      <c r="C69" s="74" t="s">
        <v>267</v>
      </c>
      <c r="D69" s="74" t="s">
        <v>268</v>
      </c>
    </row>
    <row r="70" spans="3:4">
      <c r="C70" s="74" t="s">
        <v>269</v>
      </c>
      <c r="D70" s="74" t="s">
        <v>270</v>
      </c>
    </row>
    <row r="71" spans="3:4">
      <c r="C71" s="74" t="s">
        <v>271</v>
      </c>
      <c r="D71" s="73" t="s">
        <v>272</v>
      </c>
    </row>
    <row r="73" spans="1:2">
      <c r="A73" s="70" t="s">
        <v>42</v>
      </c>
      <c r="B73" s="76" t="s">
        <v>273</v>
      </c>
    </row>
    <row r="74" spans="2:2">
      <c r="B74" s="74"/>
    </row>
    <row r="75" spans="2:2">
      <c r="B75" s="71" t="s">
        <v>274</v>
      </c>
    </row>
    <row r="76" spans="2:2">
      <c r="B76" s="71" t="s">
        <v>275</v>
      </c>
    </row>
    <row r="77" spans="2:2">
      <c r="B77" s="71" t="s">
        <v>276</v>
      </c>
    </row>
    <row r="78" spans="2:2">
      <c r="B78" s="71" t="s">
        <v>277</v>
      </c>
    </row>
    <row r="79" spans="2:2">
      <c r="B79" s="71" t="s">
        <v>278</v>
      </c>
    </row>
    <row r="80" spans="2:2">
      <c r="B80" s="71" t="s">
        <v>279</v>
      </c>
    </row>
    <row r="81" spans="2:2">
      <c r="B81" s="71" t="s">
        <v>280</v>
      </c>
    </row>
    <row r="82" spans="2:2">
      <c r="B82" s="71" t="s">
        <v>281</v>
      </c>
    </row>
    <row r="84" spans="1:2">
      <c r="A84" s="70" t="s">
        <v>104</v>
      </c>
      <c r="B84" s="71" t="s">
        <v>282</v>
      </c>
    </row>
    <row r="85" spans="2:2">
      <c r="B85" s="71" t="s">
        <v>283</v>
      </c>
    </row>
    <row r="87" spans="2:2">
      <c r="B87" s="71" t="s">
        <v>284</v>
      </c>
    </row>
    <row r="89" spans="2:2">
      <c r="B89" s="71" t="s">
        <v>285</v>
      </c>
    </row>
    <row r="90" spans="2:2">
      <c r="B90" s="71" t="s">
        <v>286</v>
      </c>
    </row>
    <row r="91" spans="3:3">
      <c r="C91" s="74" t="s">
        <v>287</v>
      </c>
    </row>
    <row r="92" spans="2:2">
      <c r="B92" s="71" t="s">
        <v>288</v>
      </c>
    </row>
    <row r="93" spans="2:5">
      <c r="B93" s="71" t="s">
        <v>289</v>
      </c>
      <c r="E93" s="73"/>
    </row>
    <row r="94" spans="3:5">
      <c r="C94" s="74" t="s">
        <v>290</v>
      </c>
      <c r="E94" s="73"/>
    </row>
    <row r="95" spans="2:2">
      <c r="B95" s="71" t="s">
        <v>291</v>
      </c>
    </row>
    <row r="98" spans="1:2">
      <c r="A98" s="70" t="s">
        <v>104</v>
      </c>
      <c r="B98" s="76" t="s">
        <v>292</v>
      </c>
    </row>
    <row r="99" spans="2:2">
      <c r="B99" s="71" t="s">
        <v>293</v>
      </c>
    </row>
    <row r="100" spans="2:2">
      <c r="B100" s="71" t="s">
        <v>294</v>
      </c>
    </row>
    <row r="101" spans="2:2">
      <c r="B101" s="71" t="s">
        <v>295</v>
      </c>
    </row>
    <row r="102" spans="2:2">
      <c r="B102" s="71" t="s">
        <v>296</v>
      </c>
    </row>
    <row r="103" spans="2:2">
      <c r="B103" s="71" t="s">
        <v>297</v>
      </c>
    </row>
    <row r="104" spans="3:4">
      <c r="C104" s="74" t="s">
        <v>298</v>
      </c>
      <c r="D104" s="73" t="s">
        <v>299</v>
      </c>
    </row>
    <row r="105" spans="3:4">
      <c r="C105" s="74" t="s">
        <v>300</v>
      </c>
      <c r="D105" s="73" t="s">
        <v>301</v>
      </c>
    </row>
    <row r="106" spans="3:4">
      <c r="C106" s="74" t="s">
        <v>302</v>
      </c>
      <c r="D106" s="73" t="s">
        <v>303</v>
      </c>
    </row>
    <row r="107" spans="3:4">
      <c r="C107" s="74" t="s">
        <v>304</v>
      </c>
      <c r="D107" s="84" t="s">
        <v>305</v>
      </c>
    </row>
    <row r="109" spans="1:2">
      <c r="A109" s="70" t="s">
        <v>42</v>
      </c>
      <c r="B109" s="71" t="s">
        <v>306</v>
      </c>
    </row>
    <row r="112" spans="2:2">
      <c r="B112" s="76" t="s">
        <v>307</v>
      </c>
    </row>
    <row r="113" spans="3:4">
      <c r="C113" s="71" t="s">
        <v>308</v>
      </c>
      <c r="D113" s="73" t="s">
        <v>309</v>
      </c>
    </row>
    <row r="114" spans="3:4">
      <c r="C114" s="71"/>
      <c r="D114" s="73" t="s">
        <v>310</v>
      </c>
    </row>
    <row r="116" spans="3:4">
      <c r="C116" s="71" t="s">
        <v>311</v>
      </c>
      <c r="D116" s="73" t="s">
        <v>312</v>
      </c>
    </row>
    <row r="117" spans="3:4">
      <c r="C117" s="71" t="s">
        <v>313</v>
      </c>
      <c r="D117" s="73" t="s">
        <v>314</v>
      </c>
    </row>
    <row r="118" spans="3:4">
      <c r="C118" s="74" t="s">
        <v>315</v>
      </c>
      <c r="D118" s="73" t="s">
        <v>316</v>
      </c>
    </row>
    <row r="123" spans="2:2">
      <c r="B123" s="76" t="s">
        <v>317</v>
      </c>
    </row>
    <row r="125" spans="2:2">
      <c r="B125" s="71" t="s">
        <v>318</v>
      </c>
    </row>
    <row r="126" spans="2:2">
      <c r="B126" s="71" t="s">
        <v>319</v>
      </c>
    </row>
    <row r="131" spans="2:2">
      <c r="B131" s="76" t="s">
        <v>320</v>
      </c>
    </row>
    <row r="133" spans="2:2">
      <c r="B133" s="71" t="s">
        <v>321</v>
      </c>
    </row>
    <row r="134" spans="2:2">
      <c r="B134" s="71" t="s">
        <v>322</v>
      </c>
    </row>
    <row r="135" spans="2:2">
      <c r="B135" s="71" t="s">
        <v>323</v>
      </c>
    </row>
    <row r="136" spans="3:3">
      <c r="C136" s="74" t="s">
        <v>324</v>
      </c>
    </row>
    <row r="137" spans="3:3">
      <c r="C137" s="74" t="s">
        <v>325</v>
      </c>
    </row>
    <row r="138" spans="3:3">
      <c r="C138" s="74" t="s">
        <v>326</v>
      </c>
    </row>
    <row r="139" spans="3:3">
      <c r="C139" s="74" t="s">
        <v>327</v>
      </c>
    </row>
    <row r="140" spans="3:3">
      <c r="C140" s="74" t="s">
        <v>328</v>
      </c>
    </row>
    <row r="141" spans="3:3">
      <c r="C141" s="74" t="s">
        <v>329</v>
      </c>
    </row>
    <row r="142" spans="3:3">
      <c r="C142" s="74" t="s">
        <v>330</v>
      </c>
    </row>
    <row r="143" spans="3:3">
      <c r="C143" s="74" t="s">
        <v>331</v>
      </c>
    </row>
    <row r="144" spans="3:3">
      <c r="C144" s="74" t="s">
        <v>332</v>
      </c>
    </row>
    <row r="145" spans="3:3">
      <c r="C145" s="74" t="s">
        <v>333</v>
      </c>
    </row>
    <row r="146" spans="3:3">
      <c r="C146" s="74" t="s">
        <v>334</v>
      </c>
    </row>
    <row r="147" spans="3:3">
      <c r="C147" s="74" t="s">
        <v>335</v>
      </c>
    </row>
    <row r="148" spans="3:3">
      <c r="C148" s="74" t="s">
        <v>336</v>
      </c>
    </row>
    <row r="149" spans="3:3">
      <c r="C149" s="74" t="s">
        <v>337</v>
      </c>
    </row>
    <row r="150" spans="3:3">
      <c r="C150" s="74" t="s">
        <v>338</v>
      </c>
    </row>
    <row r="152" spans="2:2">
      <c r="B152" s="71" t="s">
        <v>339</v>
      </c>
    </row>
    <row r="153" spans="3:3">
      <c r="C153" s="74" t="s">
        <v>340</v>
      </c>
    </row>
    <row r="154" spans="3:3">
      <c r="C154" s="74" t="s">
        <v>341</v>
      </c>
    </row>
    <row r="155" spans="3:3">
      <c r="C155" s="74" t="s">
        <v>342</v>
      </c>
    </row>
    <row r="156" spans="3:3">
      <c r="C156" s="74" t="s">
        <v>343</v>
      </c>
    </row>
    <row r="157" spans="3:3">
      <c r="C157" s="74" t="s">
        <v>344</v>
      </c>
    </row>
    <row r="159" spans="2:2">
      <c r="B159" s="71" t="s">
        <v>345</v>
      </c>
    </row>
    <row r="160" spans="2:2">
      <c r="B160" s="71" t="s">
        <v>346</v>
      </c>
    </row>
    <row r="161" spans="3:3">
      <c r="C161" s="74" t="s">
        <v>347</v>
      </c>
    </row>
    <row r="162" spans="3:3">
      <c r="C162" s="74" t="s">
        <v>348</v>
      </c>
    </row>
    <row r="163" spans="3:3">
      <c r="C163" s="74" t="s">
        <v>349</v>
      </c>
    </row>
    <row r="164" spans="3:3">
      <c r="C164" s="74" t="s">
        <v>350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"/>
  <sheetViews>
    <sheetView zoomScale="85" zoomScaleNormal="85" workbookViewId="0">
      <pane xSplit="1" ySplit="1" topLeftCell="B17" activePane="bottomRight" state="frozen"/>
      <selection/>
      <selection pane="topRight"/>
      <selection pane="bottomLeft"/>
      <selection pane="bottomRight" activeCell="D27" sqref="D27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9.75" style="74" customWidth="1"/>
    <col min="4" max="4" width="120.5" style="73" customWidth="1"/>
    <col min="5" max="16384" width="9" style="71"/>
  </cols>
  <sheetData>
    <row r="1" s="73" customFormat="1" spans="1:2">
      <c r="A1" s="70" t="s">
        <v>23</v>
      </c>
      <c r="B1" s="73" t="s">
        <v>24</v>
      </c>
    </row>
    <row r="2" s="73" customFormat="1" spans="1:1">
      <c r="A2" s="70"/>
    </row>
    <row r="3" s="73" customFormat="1" spans="1:2">
      <c r="A3" s="70" t="s">
        <v>104</v>
      </c>
      <c r="B3" s="73" t="s">
        <v>351</v>
      </c>
    </row>
    <row r="4" s="73" customFormat="1" spans="1:2">
      <c r="A4" s="70"/>
      <c r="B4" s="71" t="s">
        <v>352</v>
      </c>
    </row>
    <row r="5" s="73" customFormat="1" spans="1:2">
      <c r="A5" s="70"/>
      <c r="B5" s="71" t="s">
        <v>353</v>
      </c>
    </row>
    <row r="6" s="73" customFormat="1" spans="1:2">
      <c r="A6" s="70"/>
      <c r="B6" s="71" t="s">
        <v>354</v>
      </c>
    </row>
    <row r="7" s="73" customFormat="1" spans="1:1">
      <c r="A7" s="70"/>
    </row>
    <row r="8" s="73" customFormat="1" spans="1:1">
      <c r="A8" s="70"/>
    </row>
    <row r="9" s="73" customFormat="1" spans="1:2">
      <c r="A9" s="70" t="s">
        <v>32</v>
      </c>
      <c r="B9" s="73" t="s">
        <v>355</v>
      </c>
    </row>
    <row r="10" s="73" customFormat="1" spans="1:1">
      <c r="A10" s="70"/>
    </row>
    <row r="11" s="73" customFormat="1" spans="1:2">
      <c r="A11" s="70"/>
      <c r="B11" s="73" t="s">
        <v>356</v>
      </c>
    </row>
    <row r="12" s="73" customFormat="1" spans="1:2">
      <c r="A12" s="70"/>
      <c r="B12" s="73" t="s">
        <v>357</v>
      </c>
    </row>
    <row r="13" s="73" customFormat="1" spans="1:1">
      <c r="A13" s="70"/>
    </row>
    <row r="14" s="73" customFormat="1" spans="2:2">
      <c r="B14" s="71" t="s">
        <v>358</v>
      </c>
    </row>
    <row r="15" s="73" customFormat="1" spans="1:2">
      <c r="A15" s="70"/>
      <c r="B15" s="71" t="s">
        <v>359</v>
      </c>
    </row>
    <row r="16" s="73" customFormat="1" spans="1:2">
      <c r="A16" s="70"/>
      <c r="B16" s="71" t="s">
        <v>360</v>
      </c>
    </row>
    <row r="17" s="73" customFormat="1" spans="1:2">
      <c r="A17" s="70"/>
      <c r="B17" s="71" t="s">
        <v>361</v>
      </c>
    </row>
    <row r="18" s="73" customFormat="1" spans="1:3">
      <c r="A18" s="70"/>
      <c r="B18" s="71"/>
      <c r="C18" s="74" t="s">
        <v>362</v>
      </c>
    </row>
    <row r="19" s="73" customFormat="1" spans="1:3">
      <c r="A19" s="70"/>
      <c r="B19" s="71"/>
      <c r="C19" s="74"/>
    </row>
    <row r="20" spans="1:1">
      <c r="A20" s="70" t="s">
        <v>32</v>
      </c>
    </row>
    <row r="21" spans="2:2">
      <c r="B21" s="73" t="s">
        <v>363</v>
      </c>
    </row>
    <row r="22" spans="2:2">
      <c r="B22" s="73" t="s">
        <v>364</v>
      </c>
    </row>
    <row r="24" spans="2:2">
      <c r="B24" s="71" t="s">
        <v>365</v>
      </c>
    </row>
    <row r="25" spans="2:2">
      <c r="B25" s="71" t="s">
        <v>366</v>
      </c>
    </row>
    <row r="26" spans="2:2">
      <c r="B26" s="71" t="s">
        <v>367</v>
      </c>
    </row>
    <row r="27" spans="2:2">
      <c r="B27" s="71" t="s">
        <v>368</v>
      </c>
    </row>
    <row r="29" spans="2:2">
      <c r="B29" s="71" t="s">
        <v>369</v>
      </c>
    </row>
    <row r="30" spans="3:3">
      <c r="C30" s="79" t="s">
        <v>370</v>
      </c>
    </row>
    <row r="31" spans="3:3">
      <c r="C31" s="85" t="s">
        <v>371</v>
      </c>
    </row>
    <row r="32" spans="3:3">
      <c r="C32" s="85" t="s">
        <v>372</v>
      </c>
    </row>
    <row r="34" spans="1:2">
      <c r="A34" s="70" t="s">
        <v>32</v>
      </c>
      <c r="B34" s="71" t="s">
        <v>373</v>
      </c>
    </row>
    <row r="35" spans="2:2">
      <c r="B35" s="71" t="s">
        <v>374</v>
      </c>
    </row>
    <row r="36" spans="2:3">
      <c r="B36" s="71" t="s">
        <v>375</v>
      </c>
      <c r="C36" s="71"/>
    </row>
    <row r="37" spans="2:3">
      <c r="B37" s="71" t="s">
        <v>376</v>
      </c>
      <c r="C37" s="71"/>
    </row>
    <row r="38" spans="4:4">
      <c r="D38" s="74"/>
    </row>
    <row r="39" spans="2:2">
      <c r="B39" s="74" t="s">
        <v>377</v>
      </c>
    </row>
    <row r="40" spans="2:2">
      <c r="B40" s="71" t="s">
        <v>378</v>
      </c>
    </row>
    <row r="42" spans="2:3">
      <c r="B42" s="71" t="s">
        <v>379</v>
      </c>
      <c r="C42" s="71"/>
    </row>
    <row r="43" spans="2:3">
      <c r="B43" s="71" t="s">
        <v>380</v>
      </c>
      <c r="C43" s="79"/>
    </row>
    <row r="44" spans="3:4">
      <c r="C44" s="71" t="s">
        <v>381</v>
      </c>
      <c r="D44" s="74"/>
    </row>
    <row r="45" spans="3:4">
      <c r="C45" s="71" t="s">
        <v>382</v>
      </c>
      <c r="D45" s="74"/>
    </row>
    <row r="46" spans="2:4">
      <c r="B46" s="71" t="s">
        <v>383</v>
      </c>
      <c r="C46" s="74"/>
      <c r="D46" s="74"/>
    </row>
    <row r="47" spans="4:4">
      <c r="D47" s="74"/>
    </row>
    <row r="48" spans="4:4">
      <c r="D48" s="74"/>
    </row>
    <row r="49" spans="2:2">
      <c r="B49" s="76"/>
    </row>
    <row r="52" spans="2:2">
      <c r="B52" s="74"/>
    </row>
    <row r="53" spans="2:2">
      <c r="B53" s="74"/>
    </row>
    <row r="54" spans="3:3">
      <c r="C54" s="79"/>
    </row>
    <row r="56" spans="3:3">
      <c r="C56" s="71"/>
    </row>
    <row r="57" spans="2:3">
      <c r="B57" s="76"/>
      <c r="C57" s="77"/>
    </row>
    <row r="58" spans="3:3">
      <c r="C58" s="78"/>
    </row>
    <row r="63" spans="3:3">
      <c r="C63" s="71"/>
    </row>
    <row r="66" spans="2:2">
      <c r="B66" s="76"/>
    </row>
    <row r="67" spans="3:3">
      <c r="C67" s="79"/>
    </row>
    <row r="69" spans="3:3">
      <c r="C69" s="79"/>
    </row>
    <row r="70" spans="3:3">
      <c r="C70" s="79"/>
    </row>
    <row r="72" spans="2:4">
      <c r="B72" s="76"/>
      <c r="D72" s="81"/>
    </row>
    <row r="76" spans="3:3">
      <c r="C76" s="77"/>
    </row>
    <row r="80" spans="3:3">
      <c r="C80" s="79"/>
    </row>
    <row r="81" spans="2:3">
      <c r="B81" s="76"/>
      <c r="C81" s="80"/>
    </row>
    <row r="83" spans="4:4">
      <c r="D83" s="81"/>
    </row>
    <row r="90" spans="2:2">
      <c r="B90" s="82"/>
    </row>
    <row r="91" spans="3:3">
      <c r="C91"/>
    </row>
    <row r="92" spans="2:4">
      <c r="B92" s="74"/>
      <c r="D92" s="74"/>
    </row>
    <row r="93" spans="3:3">
      <c r="C93" s="73"/>
    </row>
    <row r="96" spans="3:4">
      <c r="C96"/>
      <c r="D96" s="74"/>
    </row>
    <row r="97" spans="2:2">
      <c r="B97" s="74"/>
    </row>
    <row r="99" spans="4:4">
      <c r="D99" s="81"/>
    </row>
    <row r="100" spans="2:2">
      <c r="B100" s="82"/>
    </row>
    <row r="101" spans="2:2">
      <c r="B101" s="76"/>
    </row>
    <row r="102" spans="2:2">
      <c r="B102" s="77"/>
    </row>
    <row r="103" spans="3:3">
      <c r="C103" s="78"/>
    </row>
    <row r="104" spans="4:4">
      <c r="D104" s="81"/>
    </row>
    <row r="107" spans="2:2">
      <c r="B107" s="76"/>
    </row>
    <row r="108" spans="2:3">
      <c r="B108" s="76"/>
      <c r="C108" s="79"/>
    </row>
    <row r="109" s="74" customFormat="1" spans="1:4">
      <c r="A109" s="70"/>
      <c r="B109" s="71"/>
      <c r="C109" s="83"/>
      <c r="D109" s="71"/>
    </row>
    <row r="110" s="74" customFormat="1" spans="1:3">
      <c r="A110" s="70"/>
      <c r="C110" s="83"/>
    </row>
    <row r="112" spans="4:4">
      <c r="D112" s="74"/>
    </row>
    <row r="117" spans="2:3">
      <c r="B117" s="76"/>
      <c r="C117" s="79"/>
    </row>
    <row r="123" spans="4:4">
      <c r="D123" s="74"/>
    </row>
    <row r="124" spans="4:4">
      <c r="D124" s="74"/>
    </row>
    <row r="127" spans="2:2">
      <c r="B127" s="76"/>
    </row>
    <row r="147" spans="5:5">
      <c r="E147" s="73"/>
    </row>
    <row r="148" spans="5:5">
      <c r="E148" s="73"/>
    </row>
    <row r="153" spans="2:2">
      <c r="B153" s="76"/>
    </row>
    <row r="162" spans="4:4">
      <c r="D162" s="84"/>
    </row>
    <row r="167" spans="2:2">
      <c r="B167" s="76"/>
    </row>
    <row r="168" spans="3:3">
      <c r="C168" s="71"/>
    </row>
    <row r="169" spans="3:3">
      <c r="C169" s="71"/>
    </row>
    <row r="171" spans="3:3">
      <c r="C171" s="71"/>
    </row>
    <row r="172" spans="3:3">
      <c r="C172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0" activePane="bottomRight" state="frozen"/>
      <selection/>
      <selection pane="topRight"/>
      <selection pane="bottomLeft"/>
      <selection pane="bottomRight" activeCell="C49" sqref="C49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49.85" style="74" customWidth="1"/>
    <col min="4" max="4" width="49.85" style="73" customWidth="1"/>
    <col min="5" max="16384" width="9" style="71"/>
  </cols>
  <sheetData>
    <row r="1" s="73" customFormat="1" spans="1:2">
      <c r="A1" s="70" t="s">
        <v>23</v>
      </c>
      <c r="B1" s="73" t="s">
        <v>24</v>
      </c>
    </row>
    <row r="2" s="73" customFormat="1" spans="1:1">
      <c r="A2" s="70"/>
    </row>
    <row r="3" s="73" customFormat="1" spans="1:2">
      <c r="A3" s="70" t="s">
        <v>104</v>
      </c>
      <c r="B3" s="73" t="s">
        <v>351</v>
      </c>
    </row>
    <row r="4" spans="2:2">
      <c r="B4" s="71" t="s">
        <v>352</v>
      </c>
    </row>
    <row r="5" spans="2:2">
      <c r="B5" s="71" t="s">
        <v>353</v>
      </c>
    </row>
    <row r="7" spans="2:2">
      <c r="B7" s="71" t="s">
        <v>384</v>
      </c>
    </row>
    <row r="9" spans="2:2">
      <c r="B9" s="75" t="s">
        <v>385</v>
      </c>
    </row>
    <row r="10" spans="1:2">
      <c r="A10" s="70" t="s">
        <v>42</v>
      </c>
      <c r="B10" s="71" t="s">
        <v>386</v>
      </c>
    </row>
    <row r="11" spans="2:2">
      <c r="B11" s="71" t="s">
        <v>387</v>
      </c>
    </row>
    <row r="12" spans="3:3">
      <c r="C12" s="71"/>
    </row>
    <row r="13" spans="4:4">
      <c r="D13" s="74"/>
    </row>
    <row r="14" spans="2:2">
      <c r="B14" s="71" t="s">
        <v>388</v>
      </c>
    </row>
    <row r="15" spans="2:2">
      <c r="B15" s="71" t="s">
        <v>389</v>
      </c>
    </row>
    <row r="17" spans="3:4">
      <c r="C17" s="71" t="s">
        <v>390</v>
      </c>
      <c r="D17" s="73" t="s">
        <v>391</v>
      </c>
    </row>
    <row r="18" spans="3:4">
      <c r="C18" s="74" t="s">
        <v>392</v>
      </c>
      <c r="D18" s="74" t="s">
        <v>393</v>
      </c>
    </row>
    <row r="19" spans="4:4">
      <c r="D19" s="74"/>
    </row>
    <row r="20" spans="2:4">
      <c r="B20" s="71" t="s">
        <v>394</v>
      </c>
      <c r="D20" s="74"/>
    </row>
    <row r="21" spans="2:4">
      <c r="B21" s="71" t="s">
        <v>395</v>
      </c>
      <c r="D21" s="74"/>
    </row>
    <row r="22" spans="4:4">
      <c r="D22" s="74"/>
    </row>
    <row r="24" spans="1:2">
      <c r="A24" s="70" t="s">
        <v>32</v>
      </c>
      <c r="B24" s="76" t="s">
        <v>396</v>
      </c>
    </row>
    <row r="25" spans="2:2">
      <c r="B25" s="71" t="s">
        <v>397</v>
      </c>
    </row>
    <row r="26" spans="2:2">
      <c r="B26" s="71" t="s">
        <v>398</v>
      </c>
    </row>
    <row r="27" spans="2:2">
      <c r="B27" s="74" t="s">
        <v>399</v>
      </c>
    </row>
    <row r="28" spans="2:2">
      <c r="B28" s="74" t="s">
        <v>400</v>
      </c>
    </row>
    <row r="29" spans="2:2">
      <c r="B29" s="71" t="s">
        <v>401</v>
      </c>
    </row>
    <row r="30" spans="3:4">
      <c r="C30" s="71" t="s">
        <v>390</v>
      </c>
      <c r="D30" s="73" t="s">
        <v>391</v>
      </c>
    </row>
    <row r="31" spans="3:4">
      <c r="C31" s="77" t="s">
        <v>402</v>
      </c>
      <c r="D31" s="73" t="s">
        <v>403</v>
      </c>
    </row>
    <row r="32" spans="2:4">
      <c r="B32" s="76"/>
      <c r="C32" s="78" t="s">
        <v>404</v>
      </c>
      <c r="D32" s="73" t="s">
        <v>405</v>
      </c>
    </row>
    <row r="34" spans="1:2">
      <c r="A34" s="70" t="s">
        <v>42</v>
      </c>
      <c r="B34" s="71" t="s">
        <v>406</v>
      </c>
    </row>
    <row r="35" spans="2:2">
      <c r="B35" s="71" t="s">
        <v>407</v>
      </c>
    </row>
    <row r="37" spans="2:3">
      <c r="B37" s="71" t="s">
        <v>408</v>
      </c>
      <c r="C37"/>
    </row>
    <row r="38" spans="2:2">
      <c r="B38" s="71" t="s">
        <v>409</v>
      </c>
    </row>
    <row r="39" spans="2:2">
      <c r="B39" s="71" t="s">
        <v>410</v>
      </c>
    </row>
    <row r="41" spans="1:2">
      <c r="A41" s="70" t="s">
        <v>32</v>
      </c>
      <c r="B41" s="76" t="s">
        <v>411</v>
      </c>
    </row>
    <row r="42" spans="2:2">
      <c r="B42" s="71" t="s">
        <v>412</v>
      </c>
    </row>
    <row r="43" spans="2:2">
      <c r="B43" s="71" t="s">
        <v>413</v>
      </c>
    </row>
    <row r="44" spans="2:3">
      <c r="B44" s="71" t="s">
        <v>414</v>
      </c>
      <c r="C44" s="79"/>
    </row>
    <row r="45" spans="3:3">
      <c r="C45" s="80"/>
    </row>
    <row r="47" spans="2:4">
      <c r="B47" s="76"/>
      <c r="C47" s="74"/>
      <c r="D47" s="81"/>
    </row>
    <row r="51" spans="3:3">
      <c r="C51" s="77"/>
    </row>
    <row r="55" spans="3:3">
      <c r="C55" s="79"/>
    </row>
    <row r="56" spans="2:3">
      <c r="B56" s="76"/>
      <c r="C56" s="80"/>
    </row>
    <row r="58" spans="4:4">
      <c r="D58" s="81"/>
    </row>
    <row r="65" spans="2:2">
      <c r="B65" s="82"/>
    </row>
    <row r="66" spans="3:3">
      <c r="C66"/>
    </row>
    <row r="67" spans="2:4">
      <c r="B67" s="74"/>
      <c r="D67" s="74"/>
    </row>
    <row r="68" spans="3:3">
      <c r="C68" s="73"/>
    </row>
    <row r="71" spans="3:4">
      <c r="C71"/>
      <c r="D71" s="74"/>
    </row>
    <row r="72" spans="2:2">
      <c r="B72" s="74"/>
    </row>
    <row r="74" spans="4:4">
      <c r="D74" s="81"/>
    </row>
    <row r="75" spans="2:2">
      <c r="B75" s="82"/>
    </row>
    <row r="76" spans="2:2">
      <c r="B76" s="76"/>
    </row>
    <row r="77" spans="2:2">
      <c r="B77" s="77"/>
    </row>
    <row r="78" spans="3:3">
      <c r="C78" s="78"/>
    </row>
    <row r="79" spans="4:4">
      <c r="D79" s="81"/>
    </row>
    <row r="82" spans="2:2">
      <c r="B82" s="76"/>
    </row>
    <row r="83" spans="2:3">
      <c r="B83" s="76"/>
      <c r="C83" s="79"/>
    </row>
    <row r="84" s="74" customFormat="1" spans="1:4">
      <c r="A84" s="70"/>
      <c r="B84" s="71"/>
      <c r="C84" s="83"/>
      <c r="D84" s="71"/>
    </row>
    <row r="85" s="74" customFormat="1" spans="1:3">
      <c r="A85" s="70"/>
      <c r="C85" s="83"/>
    </row>
    <row r="87" spans="4:4">
      <c r="D87" s="74"/>
    </row>
    <row r="92" spans="2:3">
      <c r="B92" s="76"/>
      <c r="C92" s="79"/>
    </row>
    <row r="98" spans="4:4">
      <c r="D98" s="74"/>
    </row>
    <row r="99" spans="4:4">
      <c r="D99" s="74"/>
    </row>
    <row r="102" spans="2:2">
      <c r="B102" s="76"/>
    </row>
    <row r="122" spans="5:5">
      <c r="E122" s="73"/>
    </row>
    <row r="123" spans="5:5">
      <c r="E123" s="73"/>
    </row>
    <row r="128" spans="2:2">
      <c r="B128" s="76"/>
    </row>
    <row r="137" spans="4:4">
      <c r="D137" s="84"/>
    </row>
    <row r="142" spans="2:2">
      <c r="B142" s="76"/>
    </row>
    <row r="143" spans="3:3">
      <c r="C143" s="71"/>
    </row>
    <row r="144" spans="3:3">
      <c r="C144" s="71"/>
    </row>
    <row r="146" spans="3:3">
      <c r="C146" s="71"/>
    </row>
    <row r="147" spans="3:3">
      <c r="C147" s="7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C18" sqref="C18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9.75" style="74" customWidth="1"/>
    <col min="4" max="4" width="120.5" style="73" customWidth="1"/>
    <col min="5" max="16384" width="9" style="71"/>
  </cols>
  <sheetData>
    <row r="1" s="73" customFormat="1" spans="1:2">
      <c r="A1" s="70" t="s">
        <v>23</v>
      </c>
      <c r="B1" s="73" t="s">
        <v>24</v>
      </c>
    </row>
    <row r="2" s="73" customFormat="1" spans="1:1">
      <c r="A2" s="70"/>
    </row>
    <row r="3" s="73" customFormat="1" spans="1:2">
      <c r="A3" s="70" t="s">
        <v>32</v>
      </c>
      <c r="B3" s="73" t="s">
        <v>415</v>
      </c>
    </row>
    <row r="4" spans="2:2">
      <c r="B4" s="73" t="s">
        <v>416</v>
      </c>
    </row>
    <row r="5" spans="2:2">
      <c r="B5" s="73" t="s">
        <v>417</v>
      </c>
    </row>
    <row r="6" spans="2:2">
      <c r="B6" s="71" t="s">
        <v>418</v>
      </c>
    </row>
    <row r="7" spans="2:2">
      <c r="B7" s="71" t="s">
        <v>419</v>
      </c>
    </row>
    <row r="9" spans="2:2">
      <c r="B9" s="71" t="s">
        <v>420</v>
      </c>
    </row>
    <row r="10" spans="2:2">
      <c r="B10" s="71" t="s">
        <v>421</v>
      </c>
    </row>
    <row r="11" spans="2:2">
      <c r="B11" s="71" t="s">
        <v>422</v>
      </c>
    </row>
    <row r="12" spans="2:3">
      <c r="B12" s="71" t="s">
        <v>423</v>
      </c>
      <c r="C12" s="71"/>
    </row>
    <row r="13" spans="4:4">
      <c r="D13" s="74"/>
    </row>
    <row r="14" spans="2:2">
      <c r="B14" s="71" t="s">
        <v>424</v>
      </c>
    </row>
    <row r="15" spans="2:2">
      <c r="B15" s="71" t="s">
        <v>425</v>
      </c>
    </row>
    <row r="16" spans="2:2">
      <c r="B16" s="71" t="s">
        <v>426</v>
      </c>
    </row>
    <row r="17" spans="2:3">
      <c r="B17" s="71" t="s">
        <v>427</v>
      </c>
      <c r="C17" s="71"/>
    </row>
    <row r="18" spans="3:3">
      <c r="C18" s="79" t="s">
        <v>428</v>
      </c>
    </row>
    <row r="19" spans="3:4">
      <c r="C19" s="74" t="s">
        <v>429</v>
      </c>
      <c r="D19" s="74" t="s">
        <v>430</v>
      </c>
    </row>
    <row r="20" spans="3:4">
      <c r="C20" s="74" t="s">
        <v>431</v>
      </c>
      <c r="D20" s="74" t="s">
        <v>432</v>
      </c>
    </row>
    <row r="21" spans="3:4">
      <c r="C21" s="74" t="s">
        <v>433</v>
      </c>
      <c r="D21" s="74" t="s">
        <v>434</v>
      </c>
    </row>
    <row r="22" spans="3:4">
      <c r="C22" s="74" t="s">
        <v>435</v>
      </c>
      <c r="D22" s="74" t="s">
        <v>436</v>
      </c>
    </row>
    <row r="23" spans="3:4">
      <c r="C23" s="74" t="s">
        <v>437</v>
      </c>
      <c r="D23" s="74" t="s">
        <v>438</v>
      </c>
    </row>
    <row r="24" spans="2:4">
      <c r="B24" s="76"/>
      <c r="C24" s="74" t="s">
        <v>439</v>
      </c>
      <c r="D24" s="73" t="s">
        <v>440</v>
      </c>
    </row>
    <row r="25" spans="3:4">
      <c r="C25" s="74" t="s">
        <v>441</v>
      </c>
      <c r="D25" s="73" t="s">
        <v>442</v>
      </c>
    </row>
    <row r="26" spans="3:4">
      <c r="C26" s="74" t="s">
        <v>443</v>
      </c>
      <c r="D26" s="73" t="s">
        <v>444</v>
      </c>
    </row>
    <row r="27" spans="2:4">
      <c r="B27" s="74"/>
      <c r="C27" s="74" t="s">
        <v>445</v>
      </c>
      <c r="D27" s="73" t="s">
        <v>446</v>
      </c>
    </row>
    <row r="28" spans="2:4">
      <c r="B28" s="74"/>
      <c r="C28" s="74" t="s">
        <v>447</v>
      </c>
      <c r="D28" s="73" t="s">
        <v>448</v>
      </c>
    </row>
    <row r="29" spans="3:3">
      <c r="C29" s="79" t="s">
        <v>449</v>
      </c>
    </row>
    <row r="30" spans="3:4">
      <c r="C30" s="74" t="s">
        <v>450</v>
      </c>
      <c r="D30" s="73" t="s">
        <v>451</v>
      </c>
    </row>
    <row r="31" spans="3:4">
      <c r="C31" s="71" t="s">
        <v>452</v>
      </c>
      <c r="D31" s="73" t="s">
        <v>453</v>
      </c>
    </row>
    <row r="32" spans="2:4">
      <c r="B32" s="76"/>
      <c r="C32" s="77" t="s">
        <v>454</v>
      </c>
      <c r="D32" s="73" t="s">
        <v>455</v>
      </c>
    </row>
    <row r="33" spans="3:4">
      <c r="C33" s="78" t="s">
        <v>456</v>
      </c>
      <c r="D33" s="73" t="s">
        <v>457</v>
      </c>
    </row>
    <row r="34" spans="3:4">
      <c r="C34" s="74" t="s">
        <v>458</v>
      </c>
      <c r="D34" s="73" t="s">
        <v>459</v>
      </c>
    </row>
    <row r="35" spans="3:4">
      <c r="C35" s="74" t="s">
        <v>460</v>
      </c>
      <c r="D35" s="73" t="s">
        <v>461</v>
      </c>
    </row>
    <row r="36" spans="3:4">
      <c r="C36" s="74" t="s">
        <v>462</v>
      </c>
      <c r="D36" s="73" t="s">
        <v>463</v>
      </c>
    </row>
    <row r="37" spans="3:4">
      <c r="C37" s="74" t="s">
        <v>464</v>
      </c>
      <c r="D37" s="73" t="s">
        <v>465</v>
      </c>
    </row>
    <row r="38" spans="3:4">
      <c r="C38" s="71" t="s">
        <v>466</v>
      </c>
      <c r="D38" s="73" t="s">
        <v>467</v>
      </c>
    </row>
    <row r="39" spans="3:4">
      <c r="C39" s="74" t="s">
        <v>468</v>
      </c>
      <c r="D39" s="73" t="s">
        <v>469</v>
      </c>
    </row>
    <row r="40" spans="3:4">
      <c r="C40" s="74" t="s">
        <v>470</v>
      </c>
      <c r="D40" s="73" t="s">
        <v>471</v>
      </c>
    </row>
    <row r="41" spans="2:2">
      <c r="B41" s="76"/>
    </row>
    <row r="42" spans="3:3">
      <c r="C42" s="79" t="s">
        <v>472</v>
      </c>
    </row>
    <row r="43" spans="3:3">
      <c r="C43" s="74" t="s">
        <v>468</v>
      </c>
    </row>
    <row r="44" spans="3:4">
      <c r="C44" s="79"/>
      <c r="D44" s="73" t="s">
        <v>473</v>
      </c>
    </row>
    <row r="45" spans="3:4">
      <c r="C45" s="79"/>
      <c r="D45" s="73" t="s">
        <v>474</v>
      </c>
    </row>
    <row r="46" spans="4:4">
      <c r="D46" s="73" t="s">
        <v>475</v>
      </c>
    </row>
    <row r="47" spans="2:4">
      <c r="B47" s="76"/>
      <c r="D47" s="81" t="s">
        <v>476</v>
      </c>
    </row>
    <row r="51" spans="3:3">
      <c r="C51" s="77"/>
    </row>
    <row r="55" spans="3:3">
      <c r="C55" s="79"/>
    </row>
    <row r="56" spans="2:3">
      <c r="B56" s="76"/>
      <c r="C56" s="80"/>
    </row>
    <row r="58" spans="4:4">
      <c r="D58" s="81"/>
    </row>
    <row r="65" spans="2:2">
      <c r="B65" s="82"/>
    </row>
    <row r="66" spans="3:3">
      <c r="C66"/>
    </row>
    <row r="67" spans="2:4">
      <c r="B67" s="74"/>
      <c r="D67" s="74"/>
    </row>
    <row r="68" spans="3:3">
      <c r="C68" s="73"/>
    </row>
    <row r="71" spans="3:4">
      <c r="C71"/>
      <c r="D71" s="74"/>
    </row>
    <row r="72" spans="2:2">
      <c r="B72" s="74"/>
    </row>
    <row r="74" spans="4:4">
      <c r="D74" s="81"/>
    </row>
    <row r="75" spans="2:2">
      <c r="B75" s="82"/>
    </row>
    <row r="76" spans="2:2">
      <c r="B76" s="76"/>
    </row>
    <row r="77" spans="2:2">
      <c r="B77" s="77"/>
    </row>
    <row r="78" spans="3:3">
      <c r="C78" s="78"/>
    </row>
    <row r="79" spans="4:4">
      <c r="D79" s="81"/>
    </row>
    <row r="82" spans="2:2">
      <c r="B82" s="76"/>
    </row>
    <row r="83" spans="2:3">
      <c r="B83" s="76"/>
      <c r="C83" s="79"/>
    </row>
    <row r="84" s="74" customFormat="1" spans="1:4">
      <c r="A84" s="70"/>
      <c r="B84" s="71"/>
      <c r="C84" s="83"/>
      <c r="D84" s="71"/>
    </row>
    <row r="85" s="74" customFormat="1" spans="1:3">
      <c r="A85" s="70"/>
      <c r="C85" s="83"/>
    </row>
    <row r="87" spans="4:4">
      <c r="D87" s="74"/>
    </row>
    <row r="92" spans="2:3">
      <c r="B92" s="76"/>
      <c r="C92" s="79"/>
    </row>
    <row r="98" spans="4:4">
      <c r="D98" s="74"/>
    </row>
    <row r="99" spans="4:4">
      <c r="D99" s="74"/>
    </row>
    <row r="102" spans="2:2">
      <c r="B102" s="76"/>
    </row>
    <row r="122" spans="5:5">
      <c r="E122" s="73"/>
    </row>
    <row r="123" spans="5:5">
      <c r="E123" s="73"/>
    </row>
    <row r="128" spans="2:2">
      <c r="B128" s="76"/>
    </row>
    <row r="137" spans="4:4">
      <c r="D137" s="84"/>
    </row>
    <row r="142" spans="2:2">
      <c r="B142" s="76"/>
    </row>
    <row r="143" spans="3:3">
      <c r="C143" s="71"/>
    </row>
    <row r="144" spans="3:3">
      <c r="C144" s="71"/>
    </row>
    <row r="146" spans="3:3">
      <c r="C146" s="71"/>
    </row>
    <row r="147" spans="3:3">
      <c r="C147" s="7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7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D22" sqref="D22"/>
    </sheetView>
  </sheetViews>
  <sheetFormatPr defaultColWidth="9" defaultRowHeight="16.5" outlineLevelCol="4"/>
  <cols>
    <col min="1" max="1" width="15" style="70" customWidth="1"/>
    <col min="2" max="2" width="19" style="71" customWidth="1"/>
    <col min="3" max="3" width="39.75" style="74" customWidth="1"/>
    <col min="4" max="4" width="120.5" style="73" customWidth="1"/>
    <col min="5" max="16384" width="9" style="71"/>
  </cols>
  <sheetData>
    <row r="1" s="73" customFormat="1" spans="1:2">
      <c r="A1" s="70" t="s">
        <v>23</v>
      </c>
      <c r="B1" s="73" t="s">
        <v>24</v>
      </c>
    </row>
    <row r="2" s="73" customFormat="1" spans="1:2">
      <c r="A2" s="70"/>
      <c r="B2" s="75"/>
    </row>
    <row r="3" s="73" customFormat="1" spans="1:1">
      <c r="A3" s="70"/>
    </row>
    <row r="12" spans="3:3">
      <c r="C12" s="71"/>
    </row>
    <row r="13" spans="4:4">
      <c r="D13" s="74"/>
    </row>
    <row r="17" spans="3:3">
      <c r="C17" s="71"/>
    </row>
    <row r="18" spans="4:4">
      <c r="D18" s="74"/>
    </row>
    <row r="19" spans="4:4">
      <c r="D19" s="74"/>
    </row>
    <row r="20" spans="4:4">
      <c r="D20" s="74"/>
    </row>
    <row r="21" spans="4:4">
      <c r="D21" s="74"/>
    </row>
    <row r="22" spans="4:4">
      <c r="D22" s="74"/>
    </row>
    <row r="24" spans="2:2">
      <c r="B24" s="76"/>
    </row>
    <row r="27" spans="2:2">
      <c r="B27" s="74"/>
    </row>
    <row r="28" spans="2:2">
      <c r="B28" s="74"/>
    </row>
    <row r="30" spans="3:3">
      <c r="C30" s="71"/>
    </row>
    <row r="31" spans="3:3">
      <c r="C31" s="77"/>
    </row>
    <row r="32" spans="2:3">
      <c r="B32" s="76"/>
      <c r="C32" s="78"/>
    </row>
    <row r="37" spans="3:3">
      <c r="C37"/>
    </row>
    <row r="41" spans="2:2">
      <c r="B41" s="76"/>
    </row>
    <row r="44" spans="3:3">
      <c r="C44" s="79"/>
    </row>
    <row r="45" spans="3:3">
      <c r="C45" s="80"/>
    </row>
    <row r="47" spans="2:4">
      <c r="B47" s="76"/>
      <c r="D47" s="81"/>
    </row>
    <row r="51" spans="3:3">
      <c r="C51" s="77"/>
    </row>
    <row r="55" spans="3:3">
      <c r="C55" s="79"/>
    </row>
    <row r="56" spans="2:3">
      <c r="B56" s="76"/>
      <c r="C56" s="80"/>
    </row>
    <row r="58" spans="4:4">
      <c r="D58" s="81"/>
    </row>
    <row r="65" spans="2:2">
      <c r="B65" s="82"/>
    </row>
    <row r="66" spans="3:3">
      <c r="C66"/>
    </row>
    <row r="67" spans="2:4">
      <c r="B67" s="74"/>
      <c r="D67" s="74"/>
    </row>
    <row r="68" spans="3:3">
      <c r="C68" s="73"/>
    </row>
    <row r="71" spans="3:4">
      <c r="C71"/>
      <c r="D71" s="74"/>
    </row>
    <row r="72" spans="2:2">
      <c r="B72" s="74"/>
    </row>
    <row r="74" spans="4:4">
      <c r="D74" s="81"/>
    </row>
    <row r="75" spans="2:2">
      <c r="B75" s="82"/>
    </row>
    <row r="76" spans="2:2">
      <c r="B76" s="76"/>
    </row>
    <row r="77" spans="2:2">
      <c r="B77" s="77"/>
    </row>
    <row r="78" spans="3:3">
      <c r="C78" s="78"/>
    </row>
    <row r="79" spans="4:4">
      <c r="D79" s="81"/>
    </row>
    <row r="82" spans="2:2">
      <c r="B82" s="76"/>
    </row>
    <row r="83" spans="2:3">
      <c r="B83" s="76"/>
      <c r="C83" s="79"/>
    </row>
    <row r="84" s="74" customFormat="1" spans="1:4">
      <c r="A84" s="70"/>
      <c r="B84" s="71"/>
      <c r="C84" s="83"/>
      <c r="D84" s="71"/>
    </row>
    <row r="85" s="74" customFormat="1" spans="1:3">
      <c r="A85" s="70"/>
      <c r="C85" s="83"/>
    </row>
    <row r="87" spans="4:4">
      <c r="D87" s="74"/>
    </row>
    <row r="92" spans="2:3">
      <c r="B92" s="76"/>
      <c r="C92" s="79"/>
    </row>
    <row r="98" spans="4:4">
      <c r="D98" s="74"/>
    </row>
    <row r="99" spans="4:4">
      <c r="D99" s="74"/>
    </row>
    <row r="102" spans="2:2">
      <c r="B102" s="76"/>
    </row>
    <row r="122" spans="5:5">
      <c r="E122" s="73"/>
    </row>
    <row r="123" spans="5:5">
      <c r="E123" s="73"/>
    </row>
    <row r="128" spans="2:2">
      <c r="B128" s="76"/>
    </row>
    <row r="137" spans="4:4">
      <c r="D137" s="84"/>
    </row>
    <row r="142" spans="2:2">
      <c r="B142" s="76"/>
    </row>
    <row r="143" spans="3:3">
      <c r="C143" s="71"/>
    </row>
    <row r="144" spans="3:3">
      <c r="C144" s="71"/>
    </row>
    <row r="146" spans="3:3">
      <c r="C146" s="71"/>
    </row>
    <row r="147" spans="3:3">
      <c r="C147" s="7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8"/>
  <sheetViews>
    <sheetView topLeftCell="B1" workbookViewId="0">
      <selection activeCell="E35" sqref="E35"/>
    </sheetView>
  </sheetViews>
  <sheetFormatPr defaultColWidth="9" defaultRowHeight="13.5" outlineLevelCol="5"/>
  <cols>
    <col min="2" max="2" width="24.125" customWidth="1"/>
    <col min="3" max="3" width="23.75" customWidth="1"/>
    <col min="4" max="4" width="15.625" style="60" customWidth="1"/>
    <col min="5" max="5" width="23.75" customWidth="1"/>
    <col min="6" max="6" width="24.375" customWidth="1"/>
    <col min="7" max="8" width="15.625" customWidth="1"/>
  </cols>
  <sheetData>
    <row r="1" spans="1:6">
      <c r="A1">
        <v>-37</v>
      </c>
      <c r="B1" s="61" t="s">
        <v>477</v>
      </c>
      <c r="C1" s="61" t="s">
        <v>478</v>
      </c>
      <c r="D1" s="61" t="s">
        <v>479</v>
      </c>
      <c r="E1" s="62" t="s">
        <v>480</v>
      </c>
      <c r="F1" s="62" t="s">
        <v>481</v>
      </c>
    </row>
    <row r="2" spans="1:6">
      <c r="A2">
        <v>-36</v>
      </c>
      <c r="B2" s="61">
        <v>0.5</v>
      </c>
      <c r="C2" s="63">
        <f>B2/5</f>
        <v>0.1</v>
      </c>
      <c r="D2" s="63">
        <v>0.1</v>
      </c>
      <c r="E2" s="64">
        <f>(D3-D2)/(C3-C2)</f>
        <v>1.1875</v>
      </c>
      <c r="F2" s="65">
        <f>C2-D2/E2</f>
        <v>0.0157894736842105</v>
      </c>
    </row>
    <row r="3" spans="1:6">
      <c r="A3">
        <v>-35</v>
      </c>
      <c r="B3" s="61">
        <v>4.5</v>
      </c>
      <c r="C3" s="63">
        <f>B3/5</f>
        <v>0.9</v>
      </c>
      <c r="D3" s="63">
        <v>1.05</v>
      </c>
      <c r="E3" s="61"/>
      <c r="F3" s="63"/>
    </row>
    <row r="4" spans="1:6">
      <c r="A4">
        <v>-34</v>
      </c>
      <c r="B4" s="61"/>
      <c r="C4" s="61"/>
      <c r="D4" s="61"/>
      <c r="E4" s="61"/>
      <c r="F4" s="61"/>
    </row>
    <row r="5" spans="1:6">
      <c r="A5">
        <v>-33</v>
      </c>
      <c r="B5" s="61"/>
      <c r="C5" s="61"/>
      <c r="D5" s="66" t="s">
        <v>317</v>
      </c>
      <c r="E5" s="61" t="s">
        <v>482</v>
      </c>
      <c r="F5" s="61" t="s">
        <v>483</v>
      </c>
    </row>
    <row r="6" spans="1:6">
      <c r="A6">
        <v>-32</v>
      </c>
      <c r="B6" s="61"/>
      <c r="C6" s="61"/>
      <c r="D6" s="66" t="s">
        <v>484</v>
      </c>
      <c r="E6" s="61" t="s">
        <v>485</v>
      </c>
      <c r="F6" s="61" t="s">
        <v>486</v>
      </c>
    </row>
    <row r="7" spans="1:6">
      <c r="A7">
        <v>-31</v>
      </c>
      <c r="B7" s="61"/>
      <c r="C7" s="61"/>
      <c r="D7" s="61"/>
      <c r="E7" s="61"/>
      <c r="F7" s="61"/>
    </row>
    <row r="8" spans="1:6">
      <c r="A8">
        <v>-30</v>
      </c>
      <c r="B8" s="61"/>
      <c r="C8" s="61"/>
      <c r="D8" s="61"/>
      <c r="E8" s="61"/>
      <c r="F8" s="61"/>
    </row>
    <row r="9" spans="1:6">
      <c r="A9">
        <v>-29</v>
      </c>
      <c r="B9" s="61"/>
      <c r="C9" s="61"/>
      <c r="D9" s="61"/>
      <c r="E9" s="61"/>
      <c r="F9" s="61"/>
    </row>
    <row r="10" spans="1:6">
      <c r="A10">
        <v>-28</v>
      </c>
      <c r="B10" s="61"/>
      <c r="C10" s="61"/>
      <c r="D10" s="61"/>
      <c r="E10" s="61"/>
      <c r="F10" s="61"/>
    </row>
    <row r="11" spans="1:6">
      <c r="A11">
        <v>-27</v>
      </c>
      <c r="B11" s="61"/>
      <c r="C11" s="61"/>
      <c r="D11" s="61"/>
      <c r="E11" s="61"/>
      <c r="F11" s="61"/>
    </row>
    <row r="12" spans="1:6">
      <c r="A12">
        <v>-26</v>
      </c>
      <c r="B12" s="61"/>
      <c r="C12" s="61"/>
      <c r="D12" s="61"/>
      <c r="E12" s="61"/>
      <c r="F12" s="61"/>
    </row>
    <row r="13" spans="1:6">
      <c r="A13">
        <v>-25</v>
      </c>
      <c r="B13" s="61" t="s">
        <v>477</v>
      </c>
      <c r="C13" s="61" t="s">
        <v>478</v>
      </c>
      <c r="D13" s="61" t="s">
        <v>487</v>
      </c>
      <c r="E13" s="62" t="s">
        <v>480</v>
      </c>
      <c r="F13" s="62" t="s">
        <v>481</v>
      </c>
    </row>
    <row r="14" spans="1:6">
      <c r="A14">
        <v>-24</v>
      </c>
      <c r="B14" s="61">
        <v>0.4</v>
      </c>
      <c r="C14" s="63">
        <f>B14/5</f>
        <v>0.08</v>
      </c>
      <c r="D14" s="61">
        <v>10</v>
      </c>
      <c r="E14" s="67">
        <f>(D15-D14)/(C15-C14)</f>
        <v>282.352941176471</v>
      </c>
      <c r="F14" s="68">
        <f>D14-C14*E14</f>
        <v>-12.5882352941176</v>
      </c>
    </row>
    <row r="15" spans="1:6">
      <c r="A15">
        <v>-23</v>
      </c>
      <c r="B15" s="61">
        <v>4.65</v>
      </c>
      <c r="C15" s="63">
        <f>B15/5</f>
        <v>0.93</v>
      </c>
      <c r="D15" s="61">
        <v>250</v>
      </c>
      <c r="E15" s="61"/>
      <c r="F15" s="61"/>
    </row>
    <row r="16" ht="16.5" spans="1:6">
      <c r="A16">
        <v>-22</v>
      </c>
      <c r="B16" s="69"/>
      <c r="C16" s="70"/>
      <c r="D16" s="70"/>
      <c r="E16" s="71"/>
      <c r="F16" s="71"/>
    </row>
    <row r="17" spans="1:1">
      <c r="A17">
        <v>-21</v>
      </c>
    </row>
    <row r="18" spans="1:6">
      <c r="A18">
        <v>-20</v>
      </c>
      <c r="D18" s="72" t="s">
        <v>37</v>
      </c>
      <c r="E18" t="s">
        <v>488</v>
      </c>
      <c r="F18" t="s">
        <v>489</v>
      </c>
    </row>
    <row r="19" spans="1:6">
      <c r="A19">
        <v>-19</v>
      </c>
      <c r="D19" s="72" t="s">
        <v>490</v>
      </c>
      <c r="E19" t="s">
        <v>491</v>
      </c>
      <c r="F19" t="s">
        <v>492</v>
      </c>
    </row>
    <row r="20" spans="1:1">
      <c r="A20">
        <v>-18</v>
      </c>
    </row>
    <row r="21" spans="1:1">
      <c r="A21">
        <v>-17</v>
      </c>
    </row>
    <row r="22" spans="1:1">
      <c r="A22">
        <v>-16</v>
      </c>
    </row>
    <row r="23" spans="1:1">
      <c r="A23">
        <v>-15</v>
      </c>
    </row>
    <row r="24" spans="1:1">
      <c r="A24">
        <v>-14</v>
      </c>
    </row>
    <row r="25" spans="1:1">
      <c r="A25">
        <v>-13</v>
      </c>
    </row>
    <row r="26" spans="1:1">
      <c r="A26">
        <v>-12</v>
      </c>
    </row>
    <row r="27" spans="1:1">
      <c r="A27">
        <v>-11</v>
      </c>
    </row>
    <row r="28" spans="1:1">
      <c r="A28">
        <v>-10</v>
      </c>
    </row>
    <row r="29" spans="1:1">
      <c r="A29">
        <v>-9</v>
      </c>
    </row>
    <row r="30" spans="1:1">
      <c r="A30">
        <v>-8</v>
      </c>
    </row>
    <row r="31" spans="1:1">
      <c r="A31">
        <v>-7</v>
      </c>
    </row>
    <row r="32" spans="1:1">
      <c r="A32">
        <v>-6</v>
      </c>
    </row>
    <row r="33" spans="1:1">
      <c r="A33">
        <v>-5</v>
      </c>
    </row>
    <row r="34" spans="1:1">
      <c r="A34">
        <v>-4</v>
      </c>
    </row>
    <row r="35" spans="1:1">
      <c r="A35">
        <v>-3</v>
      </c>
    </row>
    <row r="36" spans="1:1">
      <c r="A36">
        <v>-2</v>
      </c>
    </row>
    <row r="37" spans="1:1">
      <c r="A37">
        <v>-1</v>
      </c>
    </row>
    <row r="38" spans="1:1">
      <c r="A38">
        <v>0</v>
      </c>
    </row>
    <row r="39" spans="1:1">
      <c r="A39">
        <v>1</v>
      </c>
    </row>
    <row r="40" spans="1:1">
      <c r="A40">
        <v>2</v>
      </c>
    </row>
    <row r="41" spans="1:1">
      <c r="A41">
        <v>3</v>
      </c>
    </row>
    <row r="42" spans="1:1">
      <c r="A42">
        <v>4</v>
      </c>
    </row>
    <row r="43" spans="1:1">
      <c r="A43">
        <v>5</v>
      </c>
    </row>
    <row r="44" spans="1:1">
      <c r="A44">
        <v>6</v>
      </c>
    </row>
    <row r="45" spans="1:1">
      <c r="A45">
        <v>7</v>
      </c>
    </row>
    <row r="46" spans="1:1">
      <c r="A46">
        <v>8</v>
      </c>
    </row>
    <row r="47" spans="1:1">
      <c r="A47">
        <v>9</v>
      </c>
    </row>
    <row r="48" spans="1:1">
      <c r="A48">
        <v>10</v>
      </c>
    </row>
    <row r="49" spans="1:1">
      <c r="A49">
        <v>11</v>
      </c>
    </row>
    <row r="50" spans="1:1">
      <c r="A50">
        <v>12</v>
      </c>
    </row>
    <row r="51" spans="1:1">
      <c r="A51">
        <v>13</v>
      </c>
    </row>
    <row r="52" spans="1:1">
      <c r="A52">
        <v>14</v>
      </c>
    </row>
    <row r="53" spans="1:1">
      <c r="A53">
        <v>15</v>
      </c>
    </row>
    <row r="54" spans="1:1">
      <c r="A54">
        <v>16</v>
      </c>
    </row>
    <row r="55" spans="1:1">
      <c r="A55">
        <v>17</v>
      </c>
    </row>
    <row r="56" spans="1:1">
      <c r="A56">
        <v>18</v>
      </c>
    </row>
    <row r="57" spans="1:1">
      <c r="A57">
        <v>19</v>
      </c>
    </row>
    <row r="58" spans="1:1">
      <c r="A58">
        <v>20</v>
      </c>
    </row>
    <row r="59" spans="1:1">
      <c r="A59">
        <v>21</v>
      </c>
    </row>
    <row r="60" spans="1:1">
      <c r="A60">
        <v>22</v>
      </c>
    </row>
    <row r="61" spans="1:1">
      <c r="A61">
        <v>23</v>
      </c>
    </row>
    <row r="62" spans="1:1">
      <c r="A62">
        <v>24</v>
      </c>
    </row>
    <row r="63" spans="1:1">
      <c r="A63">
        <v>25</v>
      </c>
    </row>
    <row r="64" spans="1:1">
      <c r="A64">
        <v>26</v>
      </c>
    </row>
    <row r="65" spans="1:1">
      <c r="A65">
        <v>27</v>
      </c>
    </row>
    <row r="66" spans="1:1">
      <c r="A66">
        <v>28</v>
      </c>
    </row>
    <row r="67" spans="1:1">
      <c r="A67">
        <v>29</v>
      </c>
    </row>
    <row r="68" spans="1:1">
      <c r="A68">
        <v>30</v>
      </c>
    </row>
    <row r="69" spans="1:1">
      <c r="A69">
        <v>31</v>
      </c>
    </row>
    <row r="70" spans="1:1">
      <c r="A70">
        <v>32</v>
      </c>
    </row>
    <row r="71" spans="1:1">
      <c r="A71">
        <v>33</v>
      </c>
    </row>
    <row r="72" spans="1:1">
      <c r="A72">
        <v>34</v>
      </c>
    </row>
    <row r="73" spans="1:1">
      <c r="A73">
        <v>35</v>
      </c>
    </row>
    <row r="74" spans="1:1">
      <c r="A74">
        <v>36</v>
      </c>
    </row>
    <row r="75" spans="1:1">
      <c r="A75">
        <v>37</v>
      </c>
    </row>
    <row r="76" spans="1:1">
      <c r="A76">
        <v>38</v>
      </c>
    </row>
    <row r="77" spans="1:1">
      <c r="A77">
        <v>39</v>
      </c>
    </row>
    <row r="78" spans="1:1">
      <c r="A78">
        <v>40</v>
      </c>
    </row>
    <row r="79" spans="1:1">
      <c r="A79">
        <v>41</v>
      </c>
    </row>
    <row r="80" spans="1:1">
      <c r="A80">
        <v>42</v>
      </c>
    </row>
    <row r="81" spans="1:1">
      <c r="A81">
        <v>43</v>
      </c>
    </row>
    <row r="82" spans="1:1">
      <c r="A82">
        <v>44</v>
      </c>
    </row>
    <row r="83" spans="1:1">
      <c r="A83">
        <v>45</v>
      </c>
    </row>
    <row r="84" spans="1:1">
      <c r="A84">
        <v>46</v>
      </c>
    </row>
    <row r="85" spans="1:1">
      <c r="A85">
        <v>47</v>
      </c>
    </row>
    <row r="86" spans="1:1">
      <c r="A86">
        <v>48</v>
      </c>
    </row>
    <row r="87" spans="1:1">
      <c r="A87">
        <v>49</v>
      </c>
    </row>
    <row r="88" spans="1:1">
      <c r="A88">
        <v>50</v>
      </c>
    </row>
    <row r="89" spans="1:1">
      <c r="A89">
        <v>51</v>
      </c>
    </row>
    <row r="90" spans="1:1">
      <c r="A90">
        <v>52</v>
      </c>
    </row>
    <row r="91" spans="1:1">
      <c r="A91">
        <v>53</v>
      </c>
    </row>
    <row r="92" spans="1:1">
      <c r="A92">
        <v>54</v>
      </c>
    </row>
    <row r="93" spans="1:1">
      <c r="A93">
        <v>55</v>
      </c>
    </row>
    <row r="94" spans="1:1">
      <c r="A94">
        <v>56</v>
      </c>
    </row>
    <row r="95" spans="1:1">
      <c r="A95">
        <v>57</v>
      </c>
    </row>
    <row r="96" spans="1:1">
      <c r="A96">
        <v>58</v>
      </c>
    </row>
    <row r="97" spans="1:1">
      <c r="A97">
        <v>59</v>
      </c>
    </row>
    <row r="98" spans="1:1">
      <c r="A98">
        <v>60</v>
      </c>
    </row>
    <row r="99" spans="1:1">
      <c r="A99">
        <v>61</v>
      </c>
    </row>
    <row r="100" spans="1:1">
      <c r="A100">
        <v>62</v>
      </c>
    </row>
    <row r="101" spans="1:1">
      <c r="A101">
        <v>63</v>
      </c>
    </row>
    <row r="102" spans="1:1">
      <c r="A102">
        <v>64</v>
      </c>
    </row>
    <row r="103" spans="1:1">
      <c r="A103">
        <v>65</v>
      </c>
    </row>
    <row r="104" spans="1:1">
      <c r="A104">
        <v>66</v>
      </c>
    </row>
    <row r="105" spans="1:1">
      <c r="A105">
        <v>67</v>
      </c>
    </row>
    <row r="106" spans="1:1">
      <c r="A106">
        <v>68</v>
      </c>
    </row>
    <row r="107" spans="1:1">
      <c r="A107">
        <v>69</v>
      </c>
    </row>
    <row r="108" spans="1:1">
      <c r="A108">
        <v>70</v>
      </c>
    </row>
    <row r="109" spans="1:1">
      <c r="A109">
        <v>71</v>
      </c>
    </row>
    <row r="110" spans="1:1">
      <c r="A110">
        <v>72</v>
      </c>
    </row>
    <row r="111" spans="1:1">
      <c r="A111">
        <v>73</v>
      </c>
    </row>
    <row r="112" spans="1:1">
      <c r="A112">
        <v>74</v>
      </c>
    </row>
    <row r="113" spans="1:1">
      <c r="A113">
        <v>75</v>
      </c>
    </row>
    <row r="114" spans="1:1">
      <c r="A114">
        <v>76</v>
      </c>
    </row>
    <row r="115" spans="1:1">
      <c r="A115">
        <v>77</v>
      </c>
    </row>
    <row r="116" spans="1:1">
      <c r="A116">
        <v>78</v>
      </c>
    </row>
    <row r="117" spans="1:1">
      <c r="A117">
        <v>79</v>
      </c>
    </row>
    <row r="118" spans="1:1">
      <c r="A118">
        <v>80</v>
      </c>
    </row>
    <row r="119" spans="1:1">
      <c r="A119">
        <v>81</v>
      </c>
    </row>
    <row r="120" spans="1:1">
      <c r="A120">
        <v>82</v>
      </c>
    </row>
    <row r="121" spans="1:1">
      <c r="A121">
        <v>83</v>
      </c>
    </row>
    <row r="122" spans="1:1">
      <c r="A122">
        <v>84</v>
      </c>
    </row>
    <row r="123" spans="1:1">
      <c r="A123">
        <v>85</v>
      </c>
    </row>
    <row r="124" spans="1:1">
      <c r="A124">
        <v>86</v>
      </c>
    </row>
    <row r="125" spans="1:1">
      <c r="A125">
        <v>87</v>
      </c>
    </row>
    <row r="126" spans="1:1">
      <c r="A126">
        <v>88</v>
      </c>
    </row>
    <row r="127" spans="1:1">
      <c r="A127">
        <v>89</v>
      </c>
    </row>
    <row r="128" spans="1:1">
      <c r="A128">
        <v>90</v>
      </c>
    </row>
    <row r="129" spans="1:1">
      <c r="A129">
        <v>91</v>
      </c>
    </row>
    <row r="130" spans="1:1">
      <c r="A130">
        <v>92</v>
      </c>
    </row>
    <row r="131" spans="1:1">
      <c r="A131">
        <v>93</v>
      </c>
    </row>
    <row r="132" spans="1:1">
      <c r="A132">
        <v>94</v>
      </c>
    </row>
    <row r="133" spans="1:1">
      <c r="A133">
        <v>95</v>
      </c>
    </row>
    <row r="134" spans="1:1">
      <c r="A134">
        <v>96</v>
      </c>
    </row>
    <row r="135" spans="1:1">
      <c r="A135">
        <v>97</v>
      </c>
    </row>
    <row r="136" spans="1:1">
      <c r="A136">
        <v>98</v>
      </c>
    </row>
    <row r="137" spans="1:1">
      <c r="A137">
        <v>99</v>
      </c>
    </row>
    <row r="138" spans="1:1">
      <c r="A138">
        <v>100</v>
      </c>
    </row>
    <row r="139" spans="1:1">
      <c r="A139">
        <v>101</v>
      </c>
    </row>
    <row r="140" spans="1:1">
      <c r="A140">
        <v>102</v>
      </c>
    </row>
    <row r="141" spans="1:1">
      <c r="A141">
        <v>103</v>
      </c>
    </row>
    <row r="142" spans="1:1">
      <c r="A142">
        <v>104</v>
      </c>
    </row>
    <row r="143" spans="1:1">
      <c r="A143">
        <v>105</v>
      </c>
    </row>
    <row r="144" spans="1:1">
      <c r="A144">
        <v>106</v>
      </c>
    </row>
    <row r="145" spans="1:1">
      <c r="A145">
        <v>107</v>
      </c>
    </row>
    <row r="146" spans="1:1">
      <c r="A146">
        <v>108</v>
      </c>
    </row>
    <row r="147" spans="1:1">
      <c r="A147">
        <v>109</v>
      </c>
    </row>
    <row r="148" spans="1:1">
      <c r="A148">
        <v>110</v>
      </c>
    </row>
    <row r="149" spans="1:1">
      <c r="A149">
        <v>111</v>
      </c>
    </row>
    <row r="150" spans="1:1">
      <c r="A150">
        <v>112</v>
      </c>
    </row>
    <row r="151" spans="1:1">
      <c r="A151">
        <v>113</v>
      </c>
    </row>
    <row r="152" spans="1:1">
      <c r="A152">
        <v>114</v>
      </c>
    </row>
    <row r="153" spans="1:1">
      <c r="A153">
        <v>115</v>
      </c>
    </row>
    <row r="154" spans="1:1">
      <c r="A154">
        <v>116</v>
      </c>
    </row>
    <row r="155" spans="1:1">
      <c r="A155">
        <v>117</v>
      </c>
    </row>
    <row r="156" spans="1:1">
      <c r="A156">
        <v>118</v>
      </c>
    </row>
    <row r="157" spans="1:1">
      <c r="A157">
        <v>119</v>
      </c>
    </row>
    <row r="158" spans="1:1">
      <c r="A158">
        <v>120</v>
      </c>
    </row>
    <row r="159" spans="1:1">
      <c r="A159">
        <v>121</v>
      </c>
    </row>
    <row r="160" spans="1:1">
      <c r="A160">
        <v>122</v>
      </c>
    </row>
    <row r="161" spans="1:1">
      <c r="A161">
        <v>123</v>
      </c>
    </row>
    <row r="162" spans="1:1">
      <c r="A162">
        <v>124</v>
      </c>
    </row>
    <row r="163" spans="1:1">
      <c r="A163">
        <v>125</v>
      </c>
    </row>
    <row r="164" spans="1:1">
      <c r="A164">
        <v>126</v>
      </c>
    </row>
    <row r="165" spans="1:1">
      <c r="A165">
        <v>127</v>
      </c>
    </row>
    <row r="166" spans="1:1">
      <c r="A166">
        <v>128</v>
      </c>
    </row>
    <row r="167" spans="1:1">
      <c r="A167">
        <v>129</v>
      </c>
    </row>
    <row r="168" spans="1:1">
      <c r="A168">
        <v>130</v>
      </c>
    </row>
    <row r="169" spans="1:1">
      <c r="A169">
        <v>131</v>
      </c>
    </row>
    <row r="170" spans="1:1">
      <c r="A170">
        <v>132</v>
      </c>
    </row>
    <row r="171" spans="1:1">
      <c r="A171">
        <v>133</v>
      </c>
    </row>
    <row r="172" spans="1:1">
      <c r="A172">
        <v>134</v>
      </c>
    </row>
    <row r="173" spans="1:1">
      <c r="A173">
        <v>135</v>
      </c>
    </row>
    <row r="174" spans="1:1">
      <c r="A174">
        <v>136</v>
      </c>
    </row>
    <row r="175" spans="1:1">
      <c r="A175">
        <v>137</v>
      </c>
    </row>
    <row r="176" spans="1:1">
      <c r="A176">
        <v>138</v>
      </c>
    </row>
    <row r="177" spans="1:1">
      <c r="A177">
        <v>139</v>
      </c>
    </row>
    <row r="178" spans="1:1">
      <c r="A178">
        <v>140</v>
      </c>
    </row>
    <row r="179" spans="1:1">
      <c r="A179">
        <v>141</v>
      </c>
    </row>
    <row r="180" spans="1:1">
      <c r="A180">
        <v>142</v>
      </c>
    </row>
    <row r="181" spans="1:1">
      <c r="A181">
        <v>143</v>
      </c>
    </row>
    <row r="182" spans="1:1">
      <c r="A182">
        <v>144</v>
      </c>
    </row>
    <row r="183" spans="1:1">
      <c r="A183">
        <v>145</v>
      </c>
    </row>
    <row r="184" spans="1:1">
      <c r="A184">
        <v>146</v>
      </c>
    </row>
    <row r="185" spans="1:1">
      <c r="A185">
        <v>147</v>
      </c>
    </row>
    <row r="186" spans="1:1">
      <c r="A186">
        <v>148</v>
      </c>
    </row>
    <row r="187" spans="1:1">
      <c r="A187">
        <v>149</v>
      </c>
    </row>
    <row r="188" spans="1:1">
      <c r="A188">
        <v>150</v>
      </c>
    </row>
    <row r="189" spans="1:1">
      <c r="A189">
        <v>151</v>
      </c>
    </row>
    <row r="190" spans="1:1">
      <c r="A190">
        <v>152</v>
      </c>
    </row>
    <row r="191" spans="1:1">
      <c r="A191">
        <v>153</v>
      </c>
    </row>
    <row r="192" spans="1:1">
      <c r="A192">
        <v>154</v>
      </c>
    </row>
    <row r="193" spans="1:1">
      <c r="A193">
        <v>155</v>
      </c>
    </row>
    <row r="194" spans="1:1">
      <c r="A194">
        <v>156</v>
      </c>
    </row>
    <row r="195" spans="1:1">
      <c r="A195">
        <v>157</v>
      </c>
    </row>
    <row r="196" spans="1:1">
      <c r="A196">
        <v>158</v>
      </c>
    </row>
    <row r="197" spans="1:1">
      <c r="A197">
        <v>159</v>
      </c>
    </row>
    <row r="198" spans="1:1">
      <c r="A198">
        <v>160</v>
      </c>
    </row>
    <row r="199" spans="1:1">
      <c r="A199">
        <v>161</v>
      </c>
    </row>
    <row r="200" spans="1:1">
      <c r="A200">
        <v>162</v>
      </c>
    </row>
    <row r="201" spans="1:1">
      <c r="A201">
        <v>163</v>
      </c>
    </row>
    <row r="202" spans="1:1">
      <c r="A202">
        <v>164</v>
      </c>
    </row>
    <row r="203" spans="1:1">
      <c r="A203">
        <v>165</v>
      </c>
    </row>
    <row r="204" spans="1:1">
      <c r="A204">
        <v>166</v>
      </c>
    </row>
    <row r="205" spans="1:1">
      <c r="A205">
        <v>167</v>
      </c>
    </row>
    <row r="206" spans="1:1">
      <c r="A206">
        <v>168</v>
      </c>
    </row>
    <row r="207" spans="1:1">
      <c r="A207">
        <v>169</v>
      </c>
    </row>
    <row r="208" spans="1:1">
      <c r="A208">
        <v>170</v>
      </c>
    </row>
    <row r="209" spans="1:1">
      <c r="A209">
        <v>171</v>
      </c>
    </row>
    <row r="210" spans="1:1">
      <c r="A210">
        <v>172</v>
      </c>
    </row>
    <row r="211" spans="1:1">
      <c r="A211">
        <v>173</v>
      </c>
    </row>
    <row r="212" spans="1:1">
      <c r="A212">
        <v>174</v>
      </c>
    </row>
    <row r="213" spans="1:1">
      <c r="A213">
        <v>175</v>
      </c>
    </row>
    <row r="214" spans="1:1">
      <c r="A214">
        <v>176</v>
      </c>
    </row>
    <row r="215" spans="1:1">
      <c r="A215">
        <v>177</v>
      </c>
    </row>
    <row r="216" spans="1:1">
      <c r="A216">
        <v>178</v>
      </c>
    </row>
    <row r="217" spans="1:1">
      <c r="A217">
        <v>179</v>
      </c>
    </row>
    <row r="218" spans="1:1">
      <c r="A218">
        <v>180</v>
      </c>
    </row>
    <row r="219" spans="1:1">
      <c r="A219">
        <v>181</v>
      </c>
    </row>
    <row r="220" spans="1:1">
      <c r="A220">
        <v>182</v>
      </c>
    </row>
    <row r="221" spans="1:1">
      <c r="A221">
        <v>183</v>
      </c>
    </row>
    <row r="222" spans="1:1">
      <c r="A222">
        <v>184</v>
      </c>
    </row>
    <row r="223" spans="1:1">
      <c r="A223">
        <v>185</v>
      </c>
    </row>
    <row r="224" spans="1:1">
      <c r="A224">
        <v>186</v>
      </c>
    </row>
    <row r="225" spans="1:1">
      <c r="A225">
        <v>187</v>
      </c>
    </row>
    <row r="226" spans="1:1">
      <c r="A226">
        <v>188</v>
      </c>
    </row>
    <row r="227" spans="1:1">
      <c r="A227">
        <v>189</v>
      </c>
    </row>
    <row r="228" spans="1:1">
      <c r="A228">
        <v>190</v>
      </c>
    </row>
    <row r="229" spans="1:1">
      <c r="A229">
        <v>191</v>
      </c>
    </row>
    <row r="230" spans="1:1">
      <c r="A230">
        <v>192</v>
      </c>
    </row>
    <row r="231" spans="1:1">
      <c r="A231">
        <v>193</v>
      </c>
    </row>
    <row r="232" spans="1:1">
      <c r="A232">
        <v>194</v>
      </c>
    </row>
    <row r="233" spans="1:1">
      <c r="A233">
        <v>195</v>
      </c>
    </row>
    <row r="234" spans="1:1">
      <c r="A234">
        <v>196</v>
      </c>
    </row>
    <row r="235" spans="1:1">
      <c r="A235">
        <v>197</v>
      </c>
    </row>
    <row r="236" spans="1:1">
      <c r="A236">
        <v>198</v>
      </c>
    </row>
    <row r="237" spans="1:1">
      <c r="A237">
        <v>199</v>
      </c>
    </row>
    <row r="238" spans="1:1">
      <c r="A238">
        <v>200</v>
      </c>
    </row>
    <row r="239" spans="1:1">
      <c r="A239">
        <v>201</v>
      </c>
    </row>
    <row r="240" spans="1:1">
      <c r="A240">
        <v>202</v>
      </c>
    </row>
    <row r="241" spans="1:1">
      <c r="A241">
        <v>203</v>
      </c>
    </row>
    <row r="242" spans="1:1">
      <c r="A242">
        <v>204</v>
      </c>
    </row>
    <row r="243" spans="1:1">
      <c r="A243">
        <v>205</v>
      </c>
    </row>
    <row r="244" spans="1:1">
      <c r="A244">
        <v>206</v>
      </c>
    </row>
    <row r="245" spans="1:1">
      <c r="A245">
        <v>207</v>
      </c>
    </row>
    <row r="246" spans="1:1">
      <c r="A246">
        <v>208</v>
      </c>
    </row>
    <row r="247" spans="1:1">
      <c r="A247">
        <v>209</v>
      </c>
    </row>
    <row r="248" spans="1:1">
      <c r="A248">
        <v>210</v>
      </c>
    </row>
    <row r="249" spans="1:1">
      <c r="A249">
        <v>211</v>
      </c>
    </row>
    <row r="250" spans="1:1">
      <c r="A250">
        <v>212</v>
      </c>
    </row>
    <row r="251" spans="1:1">
      <c r="A251">
        <v>213</v>
      </c>
    </row>
    <row r="252" spans="1:1">
      <c r="A252">
        <v>214</v>
      </c>
    </row>
    <row r="253" spans="1:1">
      <c r="A253">
        <v>215</v>
      </c>
    </row>
    <row r="254" spans="1:1">
      <c r="A254">
        <v>216</v>
      </c>
    </row>
    <row r="255" spans="1:1">
      <c r="A255">
        <v>217</v>
      </c>
    </row>
    <row r="256" spans="1:1">
      <c r="A256">
        <v>218</v>
      </c>
    </row>
    <row r="257" spans="1:1">
      <c r="A257">
        <v>219</v>
      </c>
    </row>
    <row r="258" spans="1:1">
      <c r="A258">
        <v>220</v>
      </c>
    </row>
    <row r="259" spans="1:1">
      <c r="A259">
        <v>221</v>
      </c>
    </row>
    <row r="260" spans="1:1">
      <c r="A260">
        <v>222</v>
      </c>
    </row>
    <row r="261" spans="1:1">
      <c r="A261">
        <v>223</v>
      </c>
    </row>
    <row r="262" spans="1:1">
      <c r="A262">
        <v>224</v>
      </c>
    </row>
    <row r="263" spans="1:1">
      <c r="A263">
        <v>225</v>
      </c>
    </row>
    <row r="264" spans="1:1">
      <c r="A264">
        <v>226</v>
      </c>
    </row>
    <row r="265" spans="1:1">
      <c r="A265">
        <v>227</v>
      </c>
    </row>
    <row r="266" spans="1:1">
      <c r="A266">
        <v>228</v>
      </c>
    </row>
    <row r="267" spans="1:1">
      <c r="A267">
        <v>229</v>
      </c>
    </row>
    <row r="268" spans="1:1">
      <c r="A268">
        <v>230</v>
      </c>
    </row>
    <row r="269" spans="1:1">
      <c r="A269">
        <v>231</v>
      </c>
    </row>
    <row r="270" spans="1:1">
      <c r="A270">
        <v>232</v>
      </c>
    </row>
    <row r="271" spans="1:1">
      <c r="A271">
        <v>233</v>
      </c>
    </row>
    <row r="272" spans="1:1">
      <c r="A272">
        <v>234</v>
      </c>
    </row>
    <row r="273" spans="1:1">
      <c r="A273">
        <v>235</v>
      </c>
    </row>
    <row r="274" spans="1:1">
      <c r="A274">
        <v>236</v>
      </c>
    </row>
    <row r="275" spans="1:1">
      <c r="A275">
        <v>237</v>
      </c>
    </row>
    <row r="276" spans="1:1">
      <c r="A276">
        <v>238</v>
      </c>
    </row>
    <row r="277" spans="1:1">
      <c r="A277">
        <v>239</v>
      </c>
    </row>
    <row r="278" spans="1:1">
      <c r="A278">
        <v>240</v>
      </c>
    </row>
    <row r="279" spans="1:1">
      <c r="A279">
        <v>241</v>
      </c>
    </row>
    <row r="280" spans="1:1">
      <c r="A280">
        <v>242</v>
      </c>
    </row>
    <row r="281" spans="1:1">
      <c r="A281">
        <v>243</v>
      </c>
    </row>
    <row r="282" spans="1:1">
      <c r="A282">
        <v>244</v>
      </c>
    </row>
    <row r="283" spans="1:1">
      <c r="A283">
        <v>245</v>
      </c>
    </row>
    <row r="284" spans="1:1">
      <c r="A284">
        <v>246</v>
      </c>
    </row>
    <row r="285" spans="1:1">
      <c r="A285">
        <v>247</v>
      </c>
    </row>
    <row r="286" spans="1:1">
      <c r="A286">
        <v>248</v>
      </c>
    </row>
    <row r="287" spans="1:1">
      <c r="A287">
        <v>249</v>
      </c>
    </row>
    <row r="288" spans="1:1">
      <c r="A288">
        <v>250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P104"/>
  <sheetViews>
    <sheetView zoomScale="85" zoomScaleNormal="85" workbookViewId="0">
      <pane xSplit="3" ySplit="2" topLeftCell="D3" activePane="bottomRight" state="frozen"/>
      <selection/>
      <selection pane="topRight"/>
      <selection pane="bottomLeft"/>
      <selection pane="bottomRight" activeCell="C15" sqref="C15"/>
    </sheetView>
  </sheetViews>
  <sheetFormatPr defaultColWidth="9.14166666666667" defaultRowHeight="13.5"/>
  <cols>
    <col min="1" max="1" width="23.75" style="4" hidden="1" customWidth="1"/>
    <col min="2" max="2" width="7.34166666666667" style="5" customWidth="1"/>
    <col min="3" max="3" width="53.2833333333333" style="5" customWidth="1"/>
    <col min="4" max="6" width="9.14166666666667" style="6" customWidth="1"/>
    <col min="7" max="7" width="41.6" style="6" hidden="1" customWidth="1"/>
    <col min="8" max="8" width="40.4333333333333" style="6" hidden="1" customWidth="1"/>
    <col min="9" max="9" width="26.325" style="5" hidden="1" customWidth="1"/>
    <col min="10" max="10" width="37.75" style="5" hidden="1" customWidth="1"/>
    <col min="11" max="11" width="23" style="5" customWidth="1"/>
    <col min="12" max="12" width="26" style="7" customWidth="1"/>
    <col min="13" max="13" width="37.25" style="7" customWidth="1"/>
    <col min="14" max="14" width="23" style="8" customWidth="1"/>
    <col min="15" max="15" width="9.14166666666667" style="5" customWidth="1"/>
    <col min="16" max="16" width="29.7083333333333" style="5" customWidth="1"/>
    <col min="17" max="16384" width="9.14166666666667" style="5"/>
  </cols>
  <sheetData>
    <row r="1" s="1" customFormat="1" ht="15" customHeight="1" spans="1:16">
      <c r="A1" s="9"/>
      <c r="B1" s="10"/>
      <c r="C1" s="11"/>
      <c r="D1" s="12" t="s">
        <v>493</v>
      </c>
      <c r="E1" s="13" t="s">
        <v>494</v>
      </c>
      <c r="F1" s="13"/>
      <c r="G1" s="14"/>
      <c r="H1" s="14"/>
      <c r="I1" s="23"/>
      <c r="J1" s="23"/>
      <c r="K1" s="10"/>
      <c r="L1" s="39"/>
      <c r="M1" s="39"/>
      <c r="N1" s="40"/>
      <c r="O1" s="10"/>
      <c r="P1" s="10"/>
    </row>
    <row r="2" s="2" customFormat="1" ht="30" customHeight="1" spans="1:16">
      <c r="A2" s="9"/>
      <c r="B2" s="15" t="s">
        <v>495</v>
      </c>
      <c r="C2" s="16" t="s">
        <v>496</v>
      </c>
      <c r="D2" s="16" t="s">
        <v>497</v>
      </c>
      <c r="E2" s="16" t="s">
        <v>498</v>
      </c>
      <c r="F2" s="16" t="s">
        <v>499</v>
      </c>
      <c r="G2" s="17"/>
      <c r="H2" s="17"/>
      <c r="I2" s="11"/>
      <c r="J2" s="41"/>
      <c r="K2" s="16" t="s">
        <v>500</v>
      </c>
      <c r="L2" s="42" t="s">
        <v>501</v>
      </c>
      <c r="M2" s="16" t="s">
        <v>502</v>
      </c>
      <c r="N2" s="16" t="s">
        <v>503</v>
      </c>
      <c r="O2" s="16" t="s">
        <v>504</v>
      </c>
      <c r="P2" s="16" t="s">
        <v>505</v>
      </c>
    </row>
    <row r="3" s="1" customFormat="1" ht="15" customHeight="1" spans="1:16">
      <c r="A3" s="18" t="s">
        <v>506</v>
      </c>
      <c r="B3" s="19" t="s">
        <v>507</v>
      </c>
      <c r="C3" s="20" t="s">
        <v>508</v>
      </c>
      <c r="D3" s="21" t="s">
        <v>509</v>
      </c>
      <c r="E3" s="21">
        <v>3218</v>
      </c>
      <c r="F3" s="21">
        <v>4</v>
      </c>
      <c r="G3" s="22" t="s">
        <v>510</v>
      </c>
      <c r="H3" s="23" t="s">
        <v>511</v>
      </c>
      <c r="I3" s="23" t="s">
        <v>512</v>
      </c>
      <c r="J3" s="23" t="s">
        <v>513</v>
      </c>
      <c r="K3" s="10" t="s">
        <v>514</v>
      </c>
      <c r="L3" s="43" t="s">
        <v>515</v>
      </c>
      <c r="M3" s="43" t="s">
        <v>516</v>
      </c>
      <c r="N3" s="44" t="s">
        <v>517</v>
      </c>
      <c r="O3" s="10" t="s">
        <v>518</v>
      </c>
      <c r="P3" s="10" t="s">
        <v>519</v>
      </c>
    </row>
    <row r="4" s="1" customFormat="1" ht="15" customHeight="1" spans="1:16">
      <c r="A4" s="18" t="s">
        <v>520</v>
      </c>
      <c r="B4" s="19" t="s">
        <v>507</v>
      </c>
      <c r="C4" s="20" t="s">
        <v>521</v>
      </c>
      <c r="D4" s="21" t="s">
        <v>522</v>
      </c>
      <c r="E4" s="21">
        <v>3218</v>
      </c>
      <c r="F4" s="21">
        <v>3</v>
      </c>
      <c r="G4" s="22" t="s">
        <v>523</v>
      </c>
      <c r="H4" s="23" t="s">
        <v>524</v>
      </c>
      <c r="I4" s="23" t="s">
        <v>525</v>
      </c>
      <c r="J4" s="23" t="s">
        <v>526</v>
      </c>
      <c r="K4" s="10" t="s">
        <v>514</v>
      </c>
      <c r="L4" s="43"/>
      <c r="M4" s="43"/>
      <c r="N4" s="44"/>
      <c r="O4" s="10" t="s">
        <v>518</v>
      </c>
      <c r="P4" s="10" t="s">
        <v>519</v>
      </c>
    </row>
    <row r="5" s="1" customFormat="1" ht="15" customHeight="1" spans="1:16">
      <c r="A5" s="18" t="s">
        <v>527</v>
      </c>
      <c r="B5" s="19" t="s">
        <v>507</v>
      </c>
      <c r="C5" s="20" t="s">
        <v>528</v>
      </c>
      <c r="D5" s="21" t="s">
        <v>529</v>
      </c>
      <c r="E5" s="21">
        <v>3222</v>
      </c>
      <c r="F5" s="21">
        <v>4</v>
      </c>
      <c r="G5" s="22" t="s">
        <v>530</v>
      </c>
      <c r="H5" s="23" t="s">
        <v>531</v>
      </c>
      <c r="I5" s="23" t="s">
        <v>532</v>
      </c>
      <c r="J5" s="23" t="s">
        <v>533</v>
      </c>
      <c r="K5" s="10" t="s">
        <v>534</v>
      </c>
      <c r="L5" s="43" t="s">
        <v>535</v>
      </c>
      <c r="M5" s="43" t="s">
        <v>536</v>
      </c>
      <c r="N5" s="44" t="s">
        <v>537</v>
      </c>
      <c r="O5" s="10" t="s">
        <v>518</v>
      </c>
      <c r="P5" s="10" t="s">
        <v>519</v>
      </c>
    </row>
    <row r="6" s="1" customFormat="1" ht="15" customHeight="1" spans="1:16">
      <c r="A6" s="18" t="s">
        <v>538</v>
      </c>
      <c r="B6" s="19" t="s">
        <v>507</v>
      </c>
      <c r="C6" s="20" t="s">
        <v>539</v>
      </c>
      <c r="D6" s="21" t="s">
        <v>540</v>
      </c>
      <c r="E6" s="21">
        <v>3222</v>
      </c>
      <c r="F6" s="21">
        <v>3</v>
      </c>
      <c r="G6" s="22" t="s">
        <v>541</v>
      </c>
      <c r="H6" s="23" t="s">
        <v>542</v>
      </c>
      <c r="I6" s="23" t="s">
        <v>543</v>
      </c>
      <c r="J6" s="23" t="s">
        <v>544</v>
      </c>
      <c r="K6" s="10" t="s">
        <v>534</v>
      </c>
      <c r="L6" s="43"/>
      <c r="M6" s="43"/>
      <c r="N6" s="40"/>
      <c r="O6" s="10" t="s">
        <v>518</v>
      </c>
      <c r="P6" s="10" t="s">
        <v>519</v>
      </c>
    </row>
    <row r="7" s="1" customFormat="1" ht="15" customHeight="1" spans="1:16">
      <c r="A7" s="18" t="s">
        <v>545</v>
      </c>
      <c r="B7" s="19" t="s">
        <v>507</v>
      </c>
      <c r="C7" s="20" t="s">
        <v>546</v>
      </c>
      <c r="D7" s="21" t="s">
        <v>547</v>
      </c>
      <c r="E7" s="21">
        <v>3228</v>
      </c>
      <c r="F7" s="21">
        <v>4</v>
      </c>
      <c r="G7" s="22" t="s">
        <v>548</v>
      </c>
      <c r="H7" s="23" t="s">
        <v>549</v>
      </c>
      <c r="I7" s="23" t="s">
        <v>550</v>
      </c>
      <c r="J7" s="23" t="s">
        <v>551</v>
      </c>
      <c r="K7" s="10" t="s">
        <v>552</v>
      </c>
      <c r="L7" s="43" t="s">
        <v>553</v>
      </c>
      <c r="M7" s="43" t="s">
        <v>554</v>
      </c>
      <c r="N7" s="44" t="s">
        <v>555</v>
      </c>
      <c r="O7" s="10" t="s">
        <v>518</v>
      </c>
      <c r="P7" s="10" t="s">
        <v>556</v>
      </c>
    </row>
    <row r="8" s="1" customFormat="1" ht="15" customHeight="1" spans="1:16">
      <c r="A8" s="18" t="s">
        <v>557</v>
      </c>
      <c r="B8" s="19" t="s">
        <v>507</v>
      </c>
      <c r="C8" s="20" t="s">
        <v>558</v>
      </c>
      <c r="D8" s="21" t="s">
        <v>559</v>
      </c>
      <c r="E8" s="21">
        <v>3228</v>
      </c>
      <c r="F8" s="21">
        <v>3</v>
      </c>
      <c r="G8" s="22" t="s">
        <v>560</v>
      </c>
      <c r="H8" s="23" t="s">
        <v>561</v>
      </c>
      <c r="I8" s="23" t="s">
        <v>562</v>
      </c>
      <c r="J8" s="23" t="s">
        <v>563</v>
      </c>
      <c r="K8" s="10" t="s">
        <v>552</v>
      </c>
      <c r="L8" s="39"/>
      <c r="M8" s="39"/>
      <c r="N8" s="40"/>
      <c r="O8" s="10" t="s">
        <v>518</v>
      </c>
      <c r="P8" s="10" t="s">
        <v>556</v>
      </c>
    </row>
    <row r="9" s="1" customFormat="1" ht="15" customHeight="1" spans="1:16">
      <c r="A9" s="18" t="s">
        <v>564</v>
      </c>
      <c r="B9" s="19" t="s">
        <v>507</v>
      </c>
      <c r="C9" s="20" t="s">
        <v>565</v>
      </c>
      <c r="D9" s="21" t="s">
        <v>566</v>
      </c>
      <c r="E9" s="21">
        <v>3232</v>
      </c>
      <c r="F9" s="21">
        <v>4</v>
      </c>
      <c r="G9" s="22" t="s">
        <v>567</v>
      </c>
      <c r="H9" s="23" t="s">
        <v>568</v>
      </c>
      <c r="I9" s="23" t="s">
        <v>569</v>
      </c>
      <c r="J9" s="23" t="s">
        <v>570</v>
      </c>
      <c r="K9" s="10" t="s">
        <v>571</v>
      </c>
      <c r="L9" s="43" t="s">
        <v>572</v>
      </c>
      <c r="M9" s="43" t="s">
        <v>573</v>
      </c>
      <c r="N9" s="44"/>
      <c r="O9" s="10" t="s">
        <v>518</v>
      </c>
      <c r="P9" s="10" t="s">
        <v>574</v>
      </c>
    </row>
    <row r="10" s="1" customFormat="1" ht="15" customHeight="1" spans="1:16">
      <c r="A10" s="18" t="s">
        <v>575</v>
      </c>
      <c r="B10" s="19" t="s">
        <v>507</v>
      </c>
      <c r="C10" s="20" t="s">
        <v>576</v>
      </c>
      <c r="D10" s="21" t="s">
        <v>577</v>
      </c>
      <c r="E10" s="21">
        <v>3232</v>
      </c>
      <c r="F10" s="21">
        <v>3</v>
      </c>
      <c r="G10" s="22" t="s">
        <v>578</v>
      </c>
      <c r="H10" s="23" t="s">
        <v>579</v>
      </c>
      <c r="I10" s="23" t="s">
        <v>580</v>
      </c>
      <c r="J10" s="23" t="s">
        <v>581</v>
      </c>
      <c r="K10" s="10" t="s">
        <v>571</v>
      </c>
      <c r="L10" s="39"/>
      <c r="M10" s="39"/>
      <c r="N10" s="40"/>
      <c r="O10" s="10" t="s">
        <v>518</v>
      </c>
      <c r="P10" s="10" t="s">
        <v>574</v>
      </c>
    </row>
    <row r="11" s="1" customFormat="1" ht="15" customHeight="1" spans="1:16">
      <c r="A11" s="9" t="s">
        <v>582</v>
      </c>
      <c r="B11" s="19" t="s">
        <v>507</v>
      </c>
      <c r="C11" s="20" t="s">
        <v>583</v>
      </c>
      <c r="D11" s="21" t="s">
        <v>584</v>
      </c>
      <c r="E11" s="12">
        <v>110</v>
      </c>
      <c r="F11" s="12">
        <v>4</v>
      </c>
      <c r="G11" s="9" t="s">
        <v>585</v>
      </c>
      <c r="H11" s="23" t="s">
        <v>586</v>
      </c>
      <c r="I11" s="23" t="s">
        <v>587</v>
      </c>
      <c r="J11" s="23" t="s">
        <v>588</v>
      </c>
      <c r="K11" s="10" t="s">
        <v>589</v>
      </c>
      <c r="L11" s="43" t="s">
        <v>590</v>
      </c>
      <c r="M11" s="43" t="s">
        <v>591</v>
      </c>
      <c r="N11" s="44" t="s">
        <v>592</v>
      </c>
      <c r="O11" s="10" t="s">
        <v>518</v>
      </c>
      <c r="P11" s="45" t="s">
        <v>593</v>
      </c>
    </row>
    <row r="12" s="1" customFormat="1" ht="15" customHeight="1" spans="1:16">
      <c r="A12" s="9" t="s">
        <v>594</v>
      </c>
      <c r="B12" s="19" t="s">
        <v>507</v>
      </c>
      <c r="C12" s="20" t="s">
        <v>595</v>
      </c>
      <c r="D12" s="21" t="s">
        <v>596</v>
      </c>
      <c r="E12" s="12">
        <v>110</v>
      </c>
      <c r="F12" s="12">
        <v>3</v>
      </c>
      <c r="G12" s="9" t="s">
        <v>597</v>
      </c>
      <c r="H12" s="23" t="s">
        <v>598</v>
      </c>
      <c r="I12" s="23" t="s">
        <v>599</v>
      </c>
      <c r="J12" s="23" t="s">
        <v>600</v>
      </c>
      <c r="K12" s="10" t="s">
        <v>589</v>
      </c>
      <c r="L12" s="39"/>
      <c r="M12" s="43"/>
      <c r="N12" s="40"/>
      <c r="O12" s="10" t="s">
        <v>518</v>
      </c>
      <c r="P12" s="13"/>
    </row>
    <row r="13" s="1" customFormat="1" ht="15" customHeight="1" spans="1:16">
      <c r="A13" s="9" t="s">
        <v>601</v>
      </c>
      <c r="B13" s="19" t="s">
        <v>507</v>
      </c>
      <c r="C13" s="24" t="s">
        <v>602</v>
      </c>
      <c r="D13" s="94" t="s">
        <v>603</v>
      </c>
      <c r="E13" s="12">
        <v>110</v>
      </c>
      <c r="F13" s="12">
        <v>16</v>
      </c>
      <c r="G13" s="9" t="s">
        <v>604</v>
      </c>
      <c r="H13" s="23" t="s">
        <v>605</v>
      </c>
      <c r="I13" s="23" t="s">
        <v>606</v>
      </c>
      <c r="J13" s="23" t="s">
        <v>607</v>
      </c>
      <c r="K13" s="10" t="s">
        <v>589</v>
      </c>
      <c r="L13" s="39"/>
      <c r="M13" s="43"/>
      <c r="N13" s="40"/>
      <c r="O13" s="10" t="s">
        <v>518</v>
      </c>
      <c r="P13" s="10" t="s">
        <v>574</v>
      </c>
    </row>
    <row r="14" s="1" customFormat="1" ht="15" customHeight="1" spans="1:16">
      <c r="A14" s="9" t="s">
        <v>608</v>
      </c>
      <c r="B14" s="19" t="s">
        <v>507</v>
      </c>
      <c r="C14" s="24" t="s">
        <v>609</v>
      </c>
      <c r="D14" s="94" t="s">
        <v>610</v>
      </c>
      <c r="E14" s="12">
        <v>110</v>
      </c>
      <c r="F14" s="12">
        <v>0</v>
      </c>
      <c r="G14" s="9" t="s">
        <v>611</v>
      </c>
      <c r="H14" s="23" t="s">
        <v>612</v>
      </c>
      <c r="I14" s="23" t="s">
        <v>613</v>
      </c>
      <c r="J14" s="23" t="s">
        <v>614</v>
      </c>
      <c r="K14" s="10" t="s">
        <v>589</v>
      </c>
      <c r="L14" s="39"/>
      <c r="M14" s="43"/>
      <c r="N14" s="40"/>
      <c r="O14" s="10" t="s">
        <v>518</v>
      </c>
      <c r="P14" s="10" t="s">
        <v>574</v>
      </c>
    </row>
    <row r="15" s="1" customFormat="1" ht="15" customHeight="1" spans="1:16">
      <c r="A15" s="18" t="s">
        <v>615</v>
      </c>
      <c r="B15" s="19" t="s">
        <v>507</v>
      </c>
      <c r="C15" s="20" t="s">
        <v>616</v>
      </c>
      <c r="D15" s="25" t="s">
        <v>617</v>
      </c>
      <c r="E15" s="12">
        <v>105</v>
      </c>
      <c r="F15" s="12">
        <v>4</v>
      </c>
      <c r="G15" s="9" t="s">
        <v>618</v>
      </c>
      <c r="H15" s="23" t="s">
        <v>619</v>
      </c>
      <c r="I15" s="23" t="s">
        <v>620</v>
      </c>
      <c r="J15" s="23" t="s">
        <v>621</v>
      </c>
      <c r="K15" s="10" t="s">
        <v>622</v>
      </c>
      <c r="L15" s="43" t="s">
        <v>623</v>
      </c>
      <c r="M15" s="43" t="s">
        <v>624</v>
      </c>
      <c r="N15" s="44" t="s">
        <v>625</v>
      </c>
      <c r="O15" s="10" t="s">
        <v>518</v>
      </c>
      <c r="P15" s="45" t="s">
        <v>626</v>
      </c>
    </row>
    <row r="16" s="1" customFormat="1" ht="15" customHeight="1" spans="1:16">
      <c r="A16" s="18" t="s">
        <v>627</v>
      </c>
      <c r="B16" s="19" t="s">
        <v>507</v>
      </c>
      <c r="C16" s="20" t="s">
        <v>628</v>
      </c>
      <c r="D16" s="25" t="s">
        <v>629</v>
      </c>
      <c r="E16" s="12">
        <v>105</v>
      </c>
      <c r="F16" s="12">
        <v>3</v>
      </c>
      <c r="G16" s="9" t="s">
        <v>630</v>
      </c>
      <c r="H16" s="23" t="s">
        <v>631</v>
      </c>
      <c r="I16" s="23" t="s">
        <v>632</v>
      </c>
      <c r="J16" s="23" t="s">
        <v>633</v>
      </c>
      <c r="K16" s="10" t="s">
        <v>622</v>
      </c>
      <c r="L16" s="39"/>
      <c r="M16" s="39"/>
      <c r="N16" s="40"/>
      <c r="O16" s="10" t="s">
        <v>518</v>
      </c>
      <c r="P16" s="13"/>
    </row>
    <row r="17" s="1" customFormat="1" ht="15" customHeight="1" spans="1:16">
      <c r="A17" s="18" t="s">
        <v>634</v>
      </c>
      <c r="B17" s="19" t="s">
        <v>507</v>
      </c>
      <c r="C17" s="24" t="s">
        <v>635</v>
      </c>
      <c r="D17" s="25" t="s">
        <v>636</v>
      </c>
      <c r="E17" s="12">
        <v>105</v>
      </c>
      <c r="F17" s="12">
        <v>15</v>
      </c>
      <c r="G17" s="9" t="s">
        <v>637</v>
      </c>
      <c r="H17" s="23" t="s">
        <v>638</v>
      </c>
      <c r="I17" s="23" t="s">
        <v>639</v>
      </c>
      <c r="J17" s="23" t="s">
        <v>640</v>
      </c>
      <c r="K17" s="10" t="s">
        <v>622</v>
      </c>
      <c r="L17" s="39"/>
      <c r="M17" s="39"/>
      <c r="N17" s="40"/>
      <c r="O17" s="10" t="s">
        <v>518</v>
      </c>
      <c r="P17" s="10" t="s">
        <v>574</v>
      </c>
    </row>
    <row r="18" s="1" customFormat="1" ht="15" customHeight="1" spans="1:16">
      <c r="A18" s="18" t="s">
        <v>641</v>
      </c>
      <c r="B18" s="19" t="s">
        <v>507</v>
      </c>
      <c r="C18" s="24" t="s">
        <v>642</v>
      </c>
      <c r="D18" s="25" t="s">
        <v>643</v>
      </c>
      <c r="E18" s="12">
        <v>105</v>
      </c>
      <c r="F18" s="12">
        <v>16</v>
      </c>
      <c r="G18" s="9" t="s">
        <v>644</v>
      </c>
      <c r="H18" s="23" t="s">
        <v>645</v>
      </c>
      <c r="I18" s="23" t="s">
        <v>646</v>
      </c>
      <c r="J18" s="23" t="s">
        <v>647</v>
      </c>
      <c r="K18" s="10" t="s">
        <v>622</v>
      </c>
      <c r="L18" s="39"/>
      <c r="M18" s="39"/>
      <c r="N18" s="40"/>
      <c r="O18" s="10" t="s">
        <v>518</v>
      </c>
      <c r="P18" s="10" t="s">
        <v>574</v>
      </c>
    </row>
    <row r="19" s="1" customFormat="1" ht="15" customHeight="1" spans="1:16">
      <c r="A19" s="9" t="s">
        <v>648</v>
      </c>
      <c r="B19" s="19" t="s">
        <v>507</v>
      </c>
      <c r="C19" s="20" t="s">
        <v>649</v>
      </c>
      <c r="D19" s="21" t="s">
        <v>650</v>
      </c>
      <c r="E19" s="21">
        <v>1127</v>
      </c>
      <c r="F19" s="21">
        <v>4</v>
      </c>
      <c r="G19" s="22" t="s">
        <v>651</v>
      </c>
      <c r="H19" s="23" t="s">
        <v>652</v>
      </c>
      <c r="I19" s="23" t="s">
        <v>653</v>
      </c>
      <c r="J19" s="23" t="s">
        <v>654</v>
      </c>
      <c r="K19" s="10" t="s">
        <v>655</v>
      </c>
      <c r="L19" s="43" t="s">
        <v>656</v>
      </c>
      <c r="M19" s="43" t="s">
        <v>657</v>
      </c>
      <c r="N19" s="44" t="s">
        <v>658</v>
      </c>
      <c r="O19" s="10" t="s">
        <v>42</v>
      </c>
      <c r="P19" s="10" t="s">
        <v>556</v>
      </c>
    </row>
    <row r="20" s="1" customFormat="1" ht="15" customHeight="1" spans="1:16">
      <c r="A20" s="9" t="s">
        <v>659</v>
      </c>
      <c r="B20" s="19" t="s">
        <v>507</v>
      </c>
      <c r="C20" s="20" t="s">
        <v>660</v>
      </c>
      <c r="D20" s="21" t="s">
        <v>661</v>
      </c>
      <c r="E20" s="21">
        <v>1127</v>
      </c>
      <c r="F20" s="21">
        <v>3</v>
      </c>
      <c r="G20" s="22" t="s">
        <v>662</v>
      </c>
      <c r="H20" s="23" t="s">
        <v>663</v>
      </c>
      <c r="I20" s="23" t="s">
        <v>664</v>
      </c>
      <c r="J20" s="23" t="s">
        <v>665</v>
      </c>
      <c r="K20" s="10" t="s">
        <v>655</v>
      </c>
      <c r="L20" s="39"/>
      <c r="M20" s="39"/>
      <c r="N20" s="40"/>
      <c r="O20" s="10" t="s">
        <v>42</v>
      </c>
      <c r="P20" s="10" t="s">
        <v>556</v>
      </c>
    </row>
    <row r="21" s="1" customFormat="1" ht="15" customHeight="1" spans="1:16">
      <c r="A21" s="9" t="s">
        <v>666</v>
      </c>
      <c r="B21" s="19" t="s">
        <v>507</v>
      </c>
      <c r="C21" s="20" t="s">
        <v>667</v>
      </c>
      <c r="D21" s="21" t="s">
        <v>668</v>
      </c>
      <c r="E21" s="21">
        <v>5386</v>
      </c>
      <c r="F21" s="21">
        <v>4</v>
      </c>
      <c r="G21" s="22" t="s">
        <v>669</v>
      </c>
      <c r="H21" s="23" t="s">
        <v>670</v>
      </c>
      <c r="I21" s="23" t="s">
        <v>671</v>
      </c>
      <c r="J21" s="23" t="s">
        <v>672</v>
      </c>
      <c r="K21" s="10" t="s">
        <v>673</v>
      </c>
      <c r="L21" s="43" t="s">
        <v>674</v>
      </c>
      <c r="M21" s="43" t="s">
        <v>675</v>
      </c>
      <c r="N21" s="40" t="s">
        <v>676</v>
      </c>
      <c r="O21" s="10" t="s">
        <v>518</v>
      </c>
      <c r="P21" s="10" t="s">
        <v>556</v>
      </c>
    </row>
    <row r="22" s="1" customFormat="1" ht="15" customHeight="1" spans="1:16">
      <c r="A22" s="9" t="s">
        <v>677</v>
      </c>
      <c r="B22" s="19" t="s">
        <v>507</v>
      </c>
      <c r="C22" s="20" t="s">
        <v>678</v>
      </c>
      <c r="D22" s="21" t="s">
        <v>679</v>
      </c>
      <c r="E22" s="21">
        <v>5386</v>
      </c>
      <c r="F22" s="21">
        <v>3</v>
      </c>
      <c r="G22" s="22" t="s">
        <v>680</v>
      </c>
      <c r="H22" s="23" t="s">
        <v>681</v>
      </c>
      <c r="I22" s="23" t="s">
        <v>682</v>
      </c>
      <c r="J22" s="23" t="s">
        <v>683</v>
      </c>
      <c r="K22" s="10" t="s">
        <v>673</v>
      </c>
      <c r="L22" s="39"/>
      <c r="M22" s="39"/>
      <c r="N22" s="40"/>
      <c r="O22" s="10" t="s">
        <v>518</v>
      </c>
      <c r="P22" s="10" t="s">
        <v>556</v>
      </c>
    </row>
    <row r="23" s="1" customFormat="1" ht="15" customHeight="1" spans="1:16">
      <c r="A23" s="18" t="s">
        <v>684</v>
      </c>
      <c r="B23" s="19" t="s">
        <v>507</v>
      </c>
      <c r="C23" s="26" t="s">
        <v>685</v>
      </c>
      <c r="D23" s="25" t="s">
        <v>686</v>
      </c>
      <c r="E23" s="12">
        <v>3563</v>
      </c>
      <c r="F23" s="12">
        <v>4</v>
      </c>
      <c r="G23" s="9" t="s">
        <v>687</v>
      </c>
      <c r="H23" s="23" t="s">
        <v>688</v>
      </c>
      <c r="I23" s="23" t="s">
        <v>689</v>
      </c>
      <c r="J23" s="23" t="s">
        <v>690</v>
      </c>
      <c r="K23" s="10" t="s">
        <v>691</v>
      </c>
      <c r="L23" s="43" t="s">
        <v>692</v>
      </c>
      <c r="M23" s="43" t="s">
        <v>693</v>
      </c>
      <c r="N23" s="44" t="s">
        <v>694</v>
      </c>
      <c r="O23" s="10" t="s">
        <v>42</v>
      </c>
      <c r="P23" s="45" t="s">
        <v>695</v>
      </c>
    </row>
    <row r="24" s="1" customFormat="1" ht="15" customHeight="1" spans="1:16">
      <c r="A24" s="18" t="s">
        <v>696</v>
      </c>
      <c r="B24" s="19" t="s">
        <v>507</v>
      </c>
      <c r="C24" s="26" t="s">
        <v>697</v>
      </c>
      <c r="D24" s="25" t="s">
        <v>698</v>
      </c>
      <c r="E24" s="12">
        <v>3563</v>
      </c>
      <c r="F24" s="12">
        <v>3</v>
      </c>
      <c r="G24" s="9" t="s">
        <v>699</v>
      </c>
      <c r="H24" s="23" t="s">
        <v>700</v>
      </c>
      <c r="I24" s="23" t="s">
        <v>701</v>
      </c>
      <c r="J24" s="23" t="s">
        <v>702</v>
      </c>
      <c r="K24" s="10" t="s">
        <v>691</v>
      </c>
      <c r="L24" s="39"/>
      <c r="M24" s="39"/>
      <c r="N24" s="40"/>
      <c r="O24" s="10" t="s">
        <v>42</v>
      </c>
      <c r="P24" s="13"/>
    </row>
    <row r="25" s="1" customFormat="1" ht="15" customHeight="1" spans="1:16">
      <c r="A25" s="9" t="s">
        <v>703</v>
      </c>
      <c r="B25" s="19" t="s">
        <v>507</v>
      </c>
      <c r="C25" s="20" t="s">
        <v>704</v>
      </c>
      <c r="D25" s="21" t="s">
        <v>705</v>
      </c>
      <c r="E25" s="12">
        <v>159</v>
      </c>
      <c r="F25" s="21">
        <v>4</v>
      </c>
      <c r="G25" s="22" t="s">
        <v>706</v>
      </c>
      <c r="H25" s="23" t="s">
        <v>707</v>
      </c>
      <c r="I25" s="23" t="s">
        <v>708</v>
      </c>
      <c r="J25" s="23" t="s">
        <v>709</v>
      </c>
      <c r="K25" s="10" t="s">
        <v>710</v>
      </c>
      <c r="L25" s="46" t="s">
        <v>711</v>
      </c>
      <c r="M25" s="43" t="s">
        <v>712</v>
      </c>
      <c r="N25" s="44" t="s">
        <v>713</v>
      </c>
      <c r="O25" s="10" t="s">
        <v>518</v>
      </c>
      <c r="P25" s="10" t="s">
        <v>714</v>
      </c>
    </row>
    <row r="26" s="1" customFormat="1" ht="15" customHeight="1" spans="1:16">
      <c r="A26" s="9" t="s">
        <v>715</v>
      </c>
      <c r="B26" s="19" t="s">
        <v>507</v>
      </c>
      <c r="C26" s="20" t="s">
        <v>716</v>
      </c>
      <c r="D26" s="21" t="s">
        <v>717</v>
      </c>
      <c r="E26" s="12">
        <v>159</v>
      </c>
      <c r="F26" s="21">
        <v>3</v>
      </c>
      <c r="G26" s="22" t="s">
        <v>718</v>
      </c>
      <c r="H26" s="23" t="s">
        <v>719</v>
      </c>
      <c r="I26" s="23" t="s">
        <v>720</v>
      </c>
      <c r="J26" s="23" t="s">
        <v>721</v>
      </c>
      <c r="K26" s="10" t="s">
        <v>710</v>
      </c>
      <c r="L26" s="46"/>
      <c r="M26" s="43"/>
      <c r="N26" s="44"/>
      <c r="O26" s="10" t="s">
        <v>518</v>
      </c>
      <c r="P26" s="10" t="s">
        <v>714</v>
      </c>
    </row>
    <row r="27" s="1" customFormat="1" ht="15" customHeight="1" spans="1:16">
      <c r="A27" s="9" t="s">
        <v>722</v>
      </c>
      <c r="B27" s="19" t="s">
        <v>507</v>
      </c>
      <c r="C27" s="20" t="s">
        <v>723</v>
      </c>
      <c r="D27" s="21" t="s">
        <v>724</v>
      </c>
      <c r="E27" s="21">
        <v>159</v>
      </c>
      <c r="F27" s="21">
        <v>18</v>
      </c>
      <c r="G27" s="22" t="s">
        <v>725</v>
      </c>
      <c r="H27" s="23" t="s">
        <v>726</v>
      </c>
      <c r="I27" s="23" t="s">
        <v>727</v>
      </c>
      <c r="J27" s="23" t="s">
        <v>728</v>
      </c>
      <c r="K27" s="10" t="s">
        <v>710</v>
      </c>
      <c r="L27" s="46"/>
      <c r="M27" s="43"/>
      <c r="N27" s="44"/>
      <c r="O27" s="10" t="s">
        <v>518</v>
      </c>
      <c r="P27" s="10" t="s">
        <v>714</v>
      </c>
    </row>
    <row r="28" s="1" customFormat="1" ht="15" customHeight="1" spans="1:16">
      <c r="A28" s="18" t="s">
        <v>729</v>
      </c>
      <c r="B28" s="19" t="s">
        <v>507</v>
      </c>
      <c r="C28" s="20" t="s">
        <v>730</v>
      </c>
      <c r="D28" s="21" t="s">
        <v>731</v>
      </c>
      <c r="E28" s="21">
        <v>159</v>
      </c>
      <c r="F28" s="21">
        <v>16</v>
      </c>
      <c r="G28" s="22" t="s">
        <v>732</v>
      </c>
      <c r="H28" s="23" t="s">
        <v>733</v>
      </c>
      <c r="I28" s="23" t="s">
        <v>734</v>
      </c>
      <c r="J28" s="23" t="s">
        <v>735</v>
      </c>
      <c r="K28" s="10" t="s">
        <v>710</v>
      </c>
      <c r="L28" s="46"/>
      <c r="M28" s="43"/>
      <c r="N28" s="44"/>
      <c r="O28" s="10" t="s">
        <v>518</v>
      </c>
      <c r="P28" s="10" t="s">
        <v>714</v>
      </c>
    </row>
    <row r="29" s="1" customFormat="1" ht="15" customHeight="1" spans="1:16">
      <c r="A29" s="9" t="s">
        <v>736</v>
      </c>
      <c r="B29" s="19" t="s">
        <v>507</v>
      </c>
      <c r="C29" s="20" t="s">
        <v>737</v>
      </c>
      <c r="D29" s="21" t="s">
        <v>738</v>
      </c>
      <c r="E29" s="21">
        <v>8159</v>
      </c>
      <c r="F29" s="21">
        <v>1</v>
      </c>
      <c r="G29" s="22" t="s">
        <v>739</v>
      </c>
      <c r="H29" s="23" t="s">
        <v>740</v>
      </c>
      <c r="I29" s="23" t="s">
        <v>741</v>
      </c>
      <c r="J29" s="23" t="s">
        <v>742</v>
      </c>
      <c r="K29" s="10" t="s">
        <v>743</v>
      </c>
      <c r="L29" s="43" t="s">
        <v>744</v>
      </c>
      <c r="M29" s="43" t="s">
        <v>745</v>
      </c>
      <c r="N29" s="44" t="s">
        <v>746</v>
      </c>
      <c r="O29" s="10" t="s">
        <v>518</v>
      </c>
      <c r="P29" s="10" t="s">
        <v>574</v>
      </c>
    </row>
    <row r="30" s="1" customFormat="1" ht="15" customHeight="1" spans="1:16">
      <c r="A30" s="18" t="s">
        <v>747</v>
      </c>
      <c r="B30" s="19" t="s">
        <v>507</v>
      </c>
      <c r="C30" s="20" t="s">
        <v>748</v>
      </c>
      <c r="D30" s="21" t="s">
        <v>749</v>
      </c>
      <c r="E30" s="21">
        <v>51</v>
      </c>
      <c r="F30" s="21">
        <v>4</v>
      </c>
      <c r="G30" s="22" t="s">
        <v>750</v>
      </c>
      <c r="H30" s="23" t="s">
        <v>751</v>
      </c>
      <c r="I30" s="23" t="s">
        <v>752</v>
      </c>
      <c r="J30" s="23" t="s">
        <v>753</v>
      </c>
      <c r="K30" s="10" t="s">
        <v>754</v>
      </c>
      <c r="L30" s="43" t="s">
        <v>755</v>
      </c>
      <c r="M30" s="43" t="s">
        <v>756</v>
      </c>
      <c r="N30" s="44" t="s">
        <v>757</v>
      </c>
      <c r="O30" s="10" t="s">
        <v>42</v>
      </c>
      <c r="P30" s="45" t="s">
        <v>758</v>
      </c>
    </row>
    <row r="31" s="1" customFormat="1" ht="15" customHeight="1" spans="1:16">
      <c r="A31" s="18" t="s">
        <v>759</v>
      </c>
      <c r="B31" s="19" t="s">
        <v>507</v>
      </c>
      <c r="C31" s="20" t="s">
        <v>760</v>
      </c>
      <c r="D31" s="21" t="s">
        <v>761</v>
      </c>
      <c r="E31" s="21">
        <v>51</v>
      </c>
      <c r="F31" s="21">
        <v>3</v>
      </c>
      <c r="G31" s="22" t="s">
        <v>762</v>
      </c>
      <c r="H31" s="23" t="s">
        <v>763</v>
      </c>
      <c r="I31" s="23" t="s">
        <v>764</v>
      </c>
      <c r="J31" s="23" t="s">
        <v>765</v>
      </c>
      <c r="K31" s="10" t="s">
        <v>754</v>
      </c>
      <c r="L31" s="39"/>
      <c r="M31" s="39"/>
      <c r="N31" s="40"/>
      <c r="O31" s="10" t="s">
        <v>42</v>
      </c>
      <c r="P31" s="13"/>
    </row>
    <row r="32" s="1" customFormat="1" ht="15" customHeight="1" spans="1:16">
      <c r="A32" s="18" t="s">
        <v>766</v>
      </c>
      <c r="B32" s="19" t="s">
        <v>507</v>
      </c>
      <c r="C32" s="20" t="s">
        <v>767</v>
      </c>
      <c r="D32" s="21" t="s">
        <v>768</v>
      </c>
      <c r="E32" s="21">
        <v>5419</v>
      </c>
      <c r="F32" s="21">
        <v>5</v>
      </c>
      <c r="G32" s="22" t="s">
        <v>769</v>
      </c>
      <c r="H32" s="23" t="s">
        <v>770</v>
      </c>
      <c r="I32" s="23" t="s">
        <v>771</v>
      </c>
      <c r="J32" s="23" t="s">
        <v>772</v>
      </c>
      <c r="K32" s="10" t="s">
        <v>773</v>
      </c>
      <c r="L32" s="47" t="s">
        <v>774</v>
      </c>
      <c r="M32" s="47" t="s">
        <v>775</v>
      </c>
      <c r="N32" s="40" t="s">
        <v>776</v>
      </c>
      <c r="O32" s="10" t="s">
        <v>518</v>
      </c>
      <c r="P32" s="10" t="s">
        <v>574</v>
      </c>
    </row>
    <row r="33" s="1" customFormat="1" ht="15" customHeight="1" spans="1:16">
      <c r="A33" s="18" t="s">
        <v>777</v>
      </c>
      <c r="B33" s="19" t="s">
        <v>507</v>
      </c>
      <c r="C33" s="20" t="s">
        <v>778</v>
      </c>
      <c r="D33" s="21" t="s">
        <v>779</v>
      </c>
      <c r="E33" s="21">
        <v>5419</v>
      </c>
      <c r="F33" s="21">
        <v>6</v>
      </c>
      <c r="G33" s="22" t="s">
        <v>780</v>
      </c>
      <c r="H33" s="23" t="s">
        <v>781</v>
      </c>
      <c r="I33" s="23" t="s">
        <v>782</v>
      </c>
      <c r="J33" s="23" t="s">
        <v>783</v>
      </c>
      <c r="K33" s="10" t="s">
        <v>773</v>
      </c>
      <c r="L33" s="48"/>
      <c r="M33" s="47"/>
      <c r="N33" s="40"/>
      <c r="O33" s="10" t="s">
        <v>518</v>
      </c>
      <c r="P33" s="10" t="s">
        <v>574</v>
      </c>
    </row>
    <row r="34" s="1" customFormat="1" ht="15" customHeight="1" spans="1:16">
      <c r="A34" s="18" t="s">
        <v>784</v>
      </c>
      <c r="B34" s="19" t="s">
        <v>507</v>
      </c>
      <c r="C34" s="20" t="s">
        <v>785</v>
      </c>
      <c r="D34" s="21" t="s">
        <v>786</v>
      </c>
      <c r="E34" s="21">
        <v>5419</v>
      </c>
      <c r="F34" s="21">
        <v>7</v>
      </c>
      <c r="G34" s="22" t="s">
        <v>787</v>
      </c>
      <c r="H34" s="23" t="s">
        <v>788</v>
      </c>
      <c r="I34" s="23" t="s">
        <v>789</v>
      </c>
      <c r="J34" s="23" t="s">
        <v>790</v>
      </c>
      <c r="K34" s="10" t="s">
        <v>791</v>
      </c>
      <c r="L34" s="47" t="s">
        <v>792</v>
      </c>
      <c r="M34" s="47" t="s">
        <v>793</v>
      </c>
      <c r="N34" s="44" t="s">
        <v>794</v>
      </c>
      <c r="O34" s="10" t="s">
        <v>32</v>
      </c>
      <c r="P34" s="10" t="s">
        <v>574</v>
      </c>
    </row>
    <row r="35" s="1" customFormat="1" ht="15" customHeight="1" spans="1:16">
      <c r="A35" s="9" t="s">
        <v>795</v>
      </c>
      <c r="B35" s="19" t="s">
        <v>507</v>
      </c>
      <c r="C35" s="20" t="s">
        <v>796</v>
      </c>
      <c r="D35" s="21" t="s">
        <v>797</v>
      </c>
      <c r="E35" s="21">
        <v>3673</v>
      </c>
      <c r="F35" s="21">
        <v>4</v>
      </c>
      <c r="G35" s="22" t="s">
        <v>798</v>
      </c>
      <c r="H35" s="23" t="s">
        <v>799</v>
      </c>
      <c r="I35" s="23" t="s">
        <v>800</v>
      </c>
      <c r="J35" s="23" t="s">
        <v>801</v>
      </c>
      <c r="K35" s="10" t="s">
        <v>802</v>
      </c>
      <c r="L35" s="47" t="s">
        <v>803</v>
      </c>
      <c r="M35" s="47" t="s">
        <v>804</v>
      </c>
      <c r="N35" s="44" t="s">
        <v>805</v>
      </c>
      <c r="O35" s="10" t="s">
        <v>42</v>
      </c>
      <c r="P35" s="10" t="s">
        <v>519</v>
      </c>
    </row>
    <row r="36" s="1" customFormat="1" ht="15" customHeight="1" spans="1:16">
      <c r="A36" s="9" t="s">
        <v>806</v>
      </c>
      <c r="B36" s="19" t="s">
        <v>507</v>
      </c>
      <c r="C36" s="20" t="s">
        <v>807</v>
      </c>
      <c r="D36" s="21" t="s">
        <v>808</v>
      </c>
      <c r="E36" s="21">
        <v>3673</v>
      </c>
      <c r="F36" s="21">
        <v>3</v>
      </c>
      <c r="G36" s="22" t="s">
        <v>809</v>
      </c>
      <c r="H36" s="23" t="s">
        <v>810</v>
      </c>
      <c r="I36" s="23" t="s">
        <v>811</v>
      </c>
      <c r="J36" s="23" t="s">
        <v>812</v>
      </c>
      <c r="K36" s="10" t="s">
        <v>802</v>
      </c>
      <c r="L36" s="48"/>
      <c r="M36" s="48"/>
      <c r="N36" s="40"/>
      <c r="O36" s="10" t="s">
        <v>42</v>
      </c>
      <c r="P36" s="10" t="s">
        <v>519</v>
      </c>
    </row>
    <row r="37" s="3" customFormat="1" ht="15" hidden="1" customHeight="1" spans="1:16">
      <c r="A37" s="27" t="s">
        <v>813</v>
      </c>
      <c r="B37" s="28"/>
      <c r="C37" s="29" t="s">
        <v>814</v>
      </c>
      <c r="D37" s="30" t="s">
        <v>815</v>
      </c>
      <c r="E37" s="30">
        <v>5418</v>
      </c>
      <c r="F37" s="30">
        <v>4</v>
      </c>
      <c r="G37" s="31" t="s">
        <v>816</v>
      </c>
      <c r="H37" s="32" t="s">
        <v>817</v>
      </c>
      <c r="I37" s="32" t="s">
        <v>818</v>
      </c>
      <c r="J37" s="32" t="s">
        <v>819</v>
      </c>
      <c r="K37" s="32" t="s">
        <v>820</v>
      </c>
      <c r="L37" s="49"/>
      <c r="M37" s="49"/>
      <c r="N37" s="50"/>
      <c r="O37" s="23" t="s">
        <v>518</v>
      </c>
      <c r="P37" s="32"/>
    </row>
    <row r="38" s="3" customFormat="1" ht="15" hidden="1" customHeight="1" spans="1:16">
      <c r="A38" s="27" t="s">
        <v>821</v>
      </c>
      <c r="B38" s="28"/>
      <c r="C38" s="33" t="s">
        <v>822</v>
      </c>
      <c r="D38" s="34" t="s">
        <v>823</v>
      </c>
      <c r="E38" s="34">
        <v>5418</v>
      </c>
      <c r="F38" s="34">
        <v>3</v>
      </c>
      <c r="G38" s="31" t="s">
        <v>824</v>
      </c>
      <c r="H38" s="32" t="s">
        <v>825</v>
      </c>
      <c r="I38" s="32" t="s">
        <v>826</v>
      </c>
      <c r="J38" s="32" t="s">
        <v>827</v>
      </c>
      <c r="K38" s="32" t="s">
        <v>820</v>
      </c>
      <c r="L38" s="49"/>
      <c r="M38" s="49"/>
      <c r="N38" s="50"/>
      <c r="O38" s="23" t="s">
        <v>518</v>
      </c>
      <c r="P38" s="32"/>
    </row>
    <row r="39" s="1" customFormat="1" ht="15" customHeight="1" spans="1:16">
      <c r="A39" s="9" t="s">
        <v>828</v>
      </c>
      <c r="B39" s="19" t="s">
        <v>507</v>
      </c>
      <c r="C39" s="20" t="s">
        <v>829</v>
      </c>
      <c r="D39" s="21" t="s">
        <v>830</v>
      </c>
      <c r="E39" s="21">
        <v>5418</v>
      </c>
      <c r="F39" s="21">
        <v>7</v>
      </c>
      <c r="G39" s="22" t="s">
        <v>831</v>
      </c>
      <c r="H39" s="23" t="s">
        <v>832</v>
      </c>
      <c r="I39" s="23" t="s">
        <v>833</v>
      </c>
      <c r="J39" s="23" t="s">
        <v>834</v>
      </c>
      <c r="K39" s="10" t="s">
        <v>835</v>
      </c>
      <c r="L39" s="43" t="s">
        <v>836</v>
      </c>
      <c r="M39" s="43" t="s">
        <v>837</v>
      </c>
      <c r="N39" s="44" t="s">
        <v>838</v>
      </c>
      <c r="O39" s="10" t="s">
        <v>32</v>
      </c>
      <c r="P39" s="10" t="s">
        <v>519</v>
      </c>
    </row>
    <row r="40" s="1" customFormat="1" ht="15" customHeight="1" spans="1:16">
      <c r="A40" s="9" t="s">
        <v>839</v>
      </c>
      <c r="B40" s="19" t="s">
        <v>507</v>
      </c>
      <c r="C40" s="24" t="s">
        <v>840</v>
      </c>
      <c r="D40" s="21" t="s">
        <v>841</v>
      </c>
      <c r="E40" s="12">
        <v>5447</v>
      </c>
      <c r="F40" s="12">
        <v>4</v>
      </c>
      <c r="G40" s="9" t="s">
        <v>842</v>
      </c>
      <c r="H40" s="23" t="s">
        <v>843</v>
      </c>
      <c r="I40" s="23" t="s">
        <v>844</v>
      </c>
      <c r="J40" s="23" t="s">
        <v>845</v>
      </c>
      <c r="K40" s="10" t="s">
        <v>846</v>
      </c>
      <c r="L40" s="43" t="s">
        <v>847</v>
      </c>
      <c r="M40" s="43" t="s">
        <v>848</v>
      </c>
      <c r="N40" s="40" t="s">
        <v>849</v>
      </c>
      <c r="O40" s="10" t="s">
        <v>518</v>
      </c>
      <c r="P40" s="10" t="s">
        <v>519</v>
      </c>
    </row>
    <row r="41" s="1" customFormat="1" ht="15" customHeight="1" spans="1:16">
      <c r="A41" s="9" t="s">
        <v>850</v>
      </c>
      <c r="B41" s="19" t="s">
        <v>507</v>
      </c>
      <c r="C41" s="24" t="s">
        <v>851</v>
      </c>
      <c r="D41" s="21" t="s">
        <v>852</v>
      </c>
      <c r="E41" s="12">
        <v>5447</v>
      </c>
      <c r="F41" s="12">
        <v>3</v>
      </c>
      <c r="G41" s="9" t="s">
        <v>853</v>
      </c>
      <c r="H41" s="23" t="s">
        <v>854</v>
      </c>
      <c r="I41" s="23" t="s">
        <v>855</v>
      </c>
      <c r="J41" s="23" t="s">
        <v>856</v>
      </c>
      <c r="K41" s="10" t="s">
        <v>846</v>
      </c>
      <c r="L41" s="39"/>
      <c r="M41" s="39"/>
      <c r="N41" s="40"/>
      <c r="O41" s="10" t="s">
        <v>518</v>
      </c>
      <c r="P41" s="10" t="s">
        <v>519</v>
      </c>
    </row>
    <row r="42" s="1" customFormat="1" ht="15" customHeight="1" spans="1:16">
      <c r="A42" s="9" t="s">
        <v>857</v>
      </c>
      <c r="B42" s="19" t="s">
        <v>507</v>
      </c>
      <c r="C42" s="24" t="s">
        <v>858</v>
      </c>
      <c r="D42" s="21" t="s">
        <v>859</v>
      </c>
      <c r="E42" s="12">
        <v>5448</v>
      </c>
      <c r="F42" s="12">
        <v>4</v>
      </c>
      <c r="G42" s="9" t="s">
        <v>860</v>
      </c>
      <c r="H42" s="23" t="s">
        <v>861</v>
      </c>
      <c r="I42" s="23" t="s">
        <v>862</v>
      </c>
      <c r="J42" s="23" t="s">
        <v>863</v>
      </c>
      <c r="K42" s="10" t="s">
        <v>864</v>
      </c>
      <c r="L42" s="43" t="s">
        <v>865</v>
      </c>
      <c r="M42" s="43" t="s">
        <v>866</v>
      </c>
      <c r="N42" s="40" t="s">
        <v>867</v>
      </c>
      <c r="O42" s="10" t="s">
        <v>518</v>
      </c>
      <c r="P42" s="10" t="s">
        <v>519</v>
      </c>
    </row>
    <row r="43" s="1" customFormat="1" ht="15" customHeight="1" spans="1:16">
      <c r="A43" s="9" t="s">
        <v>868</v>
      </c>
      <c r="B43" s="19" t="s">
        <v>507</v>
      </c>
      <c r="C43" s="24" t="s">
        <v>869</v>
      </c>
      <c r="D43" s="21" t="s">
        <v>870</v>
      </c>
      <c r="E43" s="12">
        <v>5448</v>
      </c>
      <c r="F43" s="12">
        <v>3</v>
      </c>
      <c r="G43" s="9" t="s">
        <v>871</v>
      </c>
      <c r="H43" s="23" t="s">
        <v>872</v>
      </c>
      <c r="I43" s="23" t="s">
        <v>873</v>
      </c>
      <c r="J43" s="23" t="s">
        <v>874</v>
      </c>
      <c r="K43" s="10" t="s">
        <v>864</v>
      </c>
      <c r="L43" s="39"/>
      <c r="M43" s="39"/>
      <c r="N43" s="40"/>
      <c r="O43" s="10" t="s">
        <v>518</v>
      </c>
      <c r="P43" s="10" t="s">
        <v>519</v>
      </c>
    </row>
    <row r="44" s="1" customFormat="1" ht="15" customHeight="1" spans="1:16">
      <c r="A44" s="9" t="s">
        <v>875</v>
      </c>
      <c r="B44" s="19" t="s">
        <v>507</v>
      </c>
      <c r="C44" s="24" t="s">
        <v>876</v>
      </c>
      <c r="D44" s="25" t="s">
        <v>877</v>
      </c>
      <c r="E44" s="12">
        <v>1079</v>
      </c>
      <c r="F44" s="12">
        <v>4</v>
      </c>
      <c r="G44" s="9" t="s">
        <v>878</v>
      </c>
      <c r="H44" s="23" t="s">
        <v>879</v>
      </c>
      <c r="I44" s="23" t="s">
        <v>880</v>
      </c>
      <c r="J44" s="23" t="s">
        <v>881</v>
      </c>
      <c r="K44" s="10" t="s">
        <v>882</v>
      </c>
      <c r="L44" s="43" t="s">
        <v>883</v>
      </c>
      <c r="M44" s="43" t="s">
        <v>884</v>
      </c>
      <c r="N44" s="40" t="s">
        <v>885</v>
      </c>
      <c r="O44" s="10" t="s">
        <v>518</v>
      </c>
      <c r="P44" s="10" t="s">
        <v>574</v>
      </c>
    </row>
    <row r="45" s="1" customFormat="1" ht="15" customHeight="1" spans="1:16">
      <c r="A45" s="9" t="s">
        <v>886</v>
      </c>
      <c r="B45" s="19" t="s">
        <v>507</v>
      </c>
      <c r="C45" s="24" t="s">
        <v>887</v>
      </c>
      <c r="D45" s="25" t="s">
        <v>888</v>
      </c>
      <c r="E45" s="12">
        <v>1079</v>
      </c>
      <c r="F45" s="12">
        <v>3</v>
      </c>
      <c r="G45" s="9" t="s">
        <v>889</v>
      </c>
      <c r="H45" s="23" t="s">
        <v>890</v>
      </c>
      <c r="I45" s="23" t="s">
        <v>891</v>
      </c>
      <c r="J45" s="23" t="s">
        <v>892</v>
      </c>
      <c r="K45" s="10" t="s">
        <v>882</v>
      </c>
      <c r="L45" s="39"/>
      <c r="M45" s="39"/>
      <c r="N45" s="40"/>
      <c r="O45" s="10" t="s">
        <v>518</v>
      </c>
      <c r="P45" s="10" t="s">
        <v>574</v>
      </c>
    </row>
    <row r="46" s="1" customFormat="1" ht="15" customHeight="1" spans="1:16">
      <c r="A46" s="9" t="s">
        <v>893</v>
      </c>
      <c r="B46" s="19" t="s">
        <v>507</v>
      </c>
      <c r="C46" s="24" t="s">
        <v>894</v>
      </c>
      <c r="D46" s="25" t="s">
        <v>895</v>
      </c>
      <c r="E46" s="12">
        <v>1080</v>
      </c>
      <c r="F46" s="12">
        <v>4</v>
      </c>
      <c r="G46" s="9" t="s">
        <v>896</v>
      </c>
      <c r="H46" s="23" t="s">
        <v>897</v>
      </c>
      <c r="I46" s="23" t="s">
        <v>898</v>
      </c>
      <c r="J46" s="23" t="s">
        <v>899</v>
      </c>
      <c r="K46" s="10" t="s">
        <v>900</v>
      </c>
      <c r="L46" s="43" t="s">
        <v>901</v>
      </c>
      <c r="M46" s="43" t="s">
        <v>902</v>
      </c>
      <c r="N46" s="40" t="s">
        <v>903</v>
      </c>
      <c r="O46" s="10" t="s">
        <v>518</v>
      </c>
      <c r="P46" s="10" t="s">
        <v>574</v>
      </c>
    </row>
    <row r="47" s="1" customFormat="1" ht="15" customHeight="1" spans="1:16">
      <c r="A47" s="9" t="s">
        <v>904</v>
      </c>
      <c r="B47" s="19" t="s">
        <v>507</v>
      </c>
      <c r="C47" s="24" t="s">
        <v>905</v>
      </c>
      <c r="D47" s="25" t="s">
        <v>906</v>
      </c>
      <c r="E47" s="12">
        <v>1080</v>
      </c>
      <c r="F47" s="12">
        <v>3</v>
      </c>
      <c r="G47" s="9" t="s">
        <v>907</v>
      </c>
      <c r="H47" s="23" t="s">
        <v>908</v>
      </c>
      <c r="I47" s="23" t="s">
        <v>909</v>
      </c>
      <c r="J47" s="23" t="s">
        <v>910</v>
      </c>
      <c r="K47" s="10" t="s">
        <v>900</v>
      </c>
      <c r="L47" s="39"/>
      <c r="M47" s="39"/>
      <c r="N47" s="40"/>
      <c r="O47" s="10" t="s">
        <v>518</v>
      </c>
      <c r="P47" s="10" t="s">
        <v>574</v>
      </c>
    </row>
    <row r="48" s="1" customFormat="1" ht="15" customHeight="1" spans="1:16">
      <c r="A48" s="18" t="s">
        <v>911</v>
      </c>
      <c r="B48" s="19" t="s">
        <v>507</v>
      </c>
      <c r="C48" s="20" t="s">
        <v>912</v>
      </c>
      <c r="D48" s="21" t="s">
        <v>913</v>
      </c>
      <c r="E48" s="21">
        <v>1268</v>
      </c>
      <c r="F48" s="21">
        <v>5</v>
      </c>
      <c r="G48" s="22" t="s">
        <v>914</v>
      </c>
      <c r="H48" s="23" t="s">
        <v>915</v>
      </c>
      <c r="I48" s="23" t="s">
        <v>916</v>
      </c>
      <c r="J48" s="23" t="s">
        <v>917</v>
      </c>
      <c r="K48" s="10" t="s">
        <v>918</v>
      </c>
      <c r="L48" s="43" t="s">
        <v>919</v>
      </c>
      <c r="M48" s="43" t="s">
        <v>920</v>
      </c>
      <c r="N48" s="40" t="s">
        <v>921</v>
      </c>
      <c r="O48" s="10" t="s">
        <v>518</v>
      </c>
      <c r="P48" s="10" t="s">
        <v>922</v>
      </c>
    </row>
    <row r="49" s="1" customFormat="1" ht="15" customHeight="1" spans="1:16">
      <c r="A49" s="18" t="s">
        <v>923</v>
      </c>
      <c r="B49" s="19" t="s">
        <v>507</v>
      </c>
      <c r="C49" s="20" t="s">
        <v>924</v>
      </c>
      <c r="D49" s="21" t="s">
        <v>925</v>
      </c>
      <c r="E49" s="21">
        <v>1268</v>
      </c>
      <c r="F49" s="21">
        <v>6</v>
      </c>
      <c r="G49" s="22" t="s">
        <v>926</v>
      </c>
      <c r="H49" s="23" t="s">
        <v>927</v>
      </c>
      <c r="I49" s="23" t="s">
        <v>928</v>
      </c>
      <c r="J49" s="23" t="s">
        <v>929</v>
      </c>
      <c r="K49" s="10" t="s">
        <v>918</v>
      </c>
      <c r="L49" s="43"/>
      <c r="M49" s="43"/>
      <c r="N49" s="40"/>
      <c r="O49" s="10" t="s">
        <v>518</v>
      </c>
      <c r="P49" s="10" t="s">
        <v>922</v>
      </c>
    </row>
    <row r="50" s="1" customFormat="1" ht="15" customHeight="1" spans="1:16">
      <c r="A50" s="18" t="s">
        <v>930</v>
      </c>
      <c r="B50" s="19" t="s">
        <v>507</v>
      </c>
      <c r="C50" s="20" t="s">
        <v>931</v>
      </c>
      <c r="D50" s="21" t="s">
        <v>932</v>
      </c>
      <c r="E50" s="21">
        <v>1269</v>
      </c>
      <c r="F50" s="21">
        <v>5</v>
      </c>
      <c r="G50" s="22" t="s">
        <v>933</v>
      </c>
      <c r="H50" s="23" t="s">
        <v>934</v>
      </c>
      <c r="I50" s="23" t="s">
        <v>935</v>
      </c>
      <c r="J50" s="23" t="s">
        <v>936</v>
      </c>
      <c r="K50" s="10" t="s">
        <v>918</v>
      </c>
      <c r="L50" s="43"/>
      <c r="M50" s="43"/>
      <c r="N50" s="40"/>
      <c r="O50" s="10" t="s">
        <v>518</v>
      </c>
      <c r="P50" s="10" t="s">
        <v>922</v>
      </c>
    </row>
    <row r="51" s="1" customFormat="1" ht="15" customHeight="1" spans="1:16">
      <c r="A51" s="18" t="s">
        <v>937</v>
      </c>
      <c r="B51" s="19" t="s">
        <v>507</v>
      </c>
      <c r="C51" s="20" t="s">
        <v>938</v>
      </c>
      <c r="D51" s="21" t="s">
        <v>939</v>
      </c>
      <c r="E51" s="21">
        <v>1269</v>
      </c>
      <c r="F51" s="21">
        <v>6</v>
      </c>
      <c r="G51" s="22" t="s">
        <v>940</v>
      </c>
      <c r="H51" s="23" t="s">
        <v>941</v>
      </c>
      <c r="I51" s="23" t="s">
        <v>942</v>
      </c>
      <c r="J51" s="23" t="s">
        <v>943</v>
      </c>
      <c r="K51" s="10" t="s">
        <v>918</v>
      </c>
      <c r="L51" s="43"/>
      <c r="M51" s="43"/>
      <c r="N51" s="40"/>
      <c r="O51" s="10" t="s">
        <v>518</v>
      </c>
      <c r="P51" s="10" t="s">
        <v>922</v>
      </c>
    </row>
    <row r="52" s="1" customFormat="1" ht="15" customHeight="1" spans="1:16">
      <c r="A52" s="18" t="s">
        <v>944</v>
      </c>
      <c r="B52" s="19" t="s">
        <v>507</v>
      </c>
      <c r="C52" s="20" t="s">
        <v>945</v>
      </c>
      <c r="D52" s="21" t="s">
        <v>946</v>
      </c>
      <c r="E52" s="21">
        <v>1270</v>
      </c>
      <c r="F52" s="21">
        <v>5</v>
      </c>
      <c r="G52" s="22" t="s">
        <v>947</v>
      </c>
      <c r="H52" s="23" t="s">
        <v>948</v>
      </c>
      <c r="I52" s="23" t="s">
        <v>949</v>
      </c>
      <c r="J52" s="23" t="s">
        <v>950</v>
      </c>
      <c r="K52" s="10" t="s">
        <v>918</v>
      </c>
      <c r="L52" s="43"/>
      <c r="M52" s="43"/>
      <c r="N52" s="40"/>
      <c r="O52" s="10" t="s">
        <v>518</v>
      </c>
      <c r="P52" s="10"/>
    </row>
    <row r="53" s="1" customFormat="1" ht="15" customHeight="1" spans="1:16">
      <c r="A53" s="18" t="s">
        <v>951</v>
      </c>
      <c r="B53" s="19" t="s">
        <v>507</v>
      </c>
      <c r="C53" s="20" t="s">
        <v>952</v>
      </c>
      <c r="D53" s="21" t="s">
        <v>953</v>
      </c>
      <c r="E53" s="21">
        <v>1270</v>
      </c>
      <c r="F53" s="21">
        <v>6</v>
      </c>
      <c r="G53" s="22" t="s">
        <v>954</v>
      </c>
      <c r="H53" s="23" t="s">
        <v>955</v>
      </c>
      <c r="I53" s="23" t="s">
        <v>956</v>
      </c>
      <c r="J53" s="23" t="s">
        <v>957</v>
      </c>
      <c r="K53" s="10" t="s">
        <v>918</v>
      </c>
      <c r="L53" s="43"/>
      <c r="M53" s="43"/>
      <c r="N53" s="40"/>
      <c r="O53" s="10" t="s">
        <v>518</v>
      </c>
      <c r="P53" s="10"/>
    </row>
    <row r="54" s="1" customFormat="1" ht="15" customHeight="1" spans="1:16">
      <c r="A54" s="18" t="s">
        <v>958</v>
      </c>
      <c r="B54" s="19" t="s">
        <v>507</v>
      </c>
      <c r="C54" s="20" t="s">
        <v>959</v>
      </c>
      <c r="D54" s="21" t="s">
        <v>960</v>
      </c>
      <c r="E54" s="21">
        <v>1271</v>
      </c>
      <c r="F54" s="21">
        <v>5</v>
      </c>
      <c r="G54" s="22" t="s">
        <v>961</v>
      </c>
      <c r="H54" s="23" t="s">
        <v>962</v>
      </c>
      <c r="I54" s="23" t="s">
        <v>963</v>
      </c>
      <c r="J54" s="23" t="s">
        <v>964</v>
      </c>
      <c r="K54" s="10" t="s">
        <v>918</v>
      </c>
      <c r="L54" s="43"/>
      <c r="M54" s="43"/>
      <c r="N54" s="40"/>
      <c r="O54" s="10" t="s">
        <v>518</v>
      </c>
      <c r="P54" s="10"/>
    </row>
    <row r="55" s="1" customFormat="1" ht="15" customHeight="1" spans="1:16">
      <c r="A55" s="18" t="s">
        <v>965</v>
      </c>
      <c r="B55" s="19" t="s">
        <v>507</v>
      </c>
      <c r="C55" s="20" t="s">
        <v>966</v>
      </c>
      <c r="D55" s="21" t="s">
        <v>967</v>
      </c>
      <c r="E55" s="21">
        <v>1271</v>
      </c>
      <c r="F55" s="21">
        <v>6</v>
      </c>
      <c r="G55" s="22" t="s">
        <v>968</v>
      </c>
      <c r="H55" s="23" t="s">
        <v>969</v>
      </c>
      <c r="I55" s="23" t="s">
        <v>970</v>
      </c>
      <c r="J55" s="23" t="s">
        <v>971</v>
      </c>
      <c r="K55" s="10" t="s">
        <v>918</v>
      </c>
      <c r="L55" s="43"/>
      <c r="M55" s="43"/>
      <c r="N55" s="40"/>
      <c r="O55" s="10" t="s">
        <v>518</v>
      </c>
      <c r="P55" s="10"/>
    </row>
    <row r="56" s="1" customFormat="1" ht="15" hidden="1" customHeight="1" spans="1:16">
      <c r="A56" s="18" t="s">
        <v>972</v>
      </c>
      <c r="B56" s="28"/>
      <c r="C56" s="35" t="s">
        <v>973</v>
      </c>
      <c r="D56" s="36" t="s">
        <v>974</v>
      </c>
      <c r="E56" s="36">
        <v>651</v>
      </c>
      <c r="F56" s="36">
        <v>5</v>
      </c>
      <c r="G56" s="22" t="s">
        <v>975</v>
      </c>
      <c r="H56" s="23" t="s">
        <v>976</v>
      </c>
      <c r="I56" s="23" t="s">
        <v>977</v>
      </c>
      <c r="J56" s="23" t="s">
        <v>978</v>
      </c>
      <c r="K56" s="23" t="s">
        <v>979</v>
      </c>
      <c r="L56" s="51" t="s">
        <v>980</v>
      </c>
      <c r="M56" s="51" t="s">
        <v>981</v>
      </c>
      <c r="N56" s="52" t="s">
        <v>982</v>
      </c>
      <c r="O56" s="23" t="s">
        <v>518</v>
      </c>
      <c r="P56" s="23"/>
    </row>
    <row r="57" s="1" customFormat="1" ht="15" hidden="1" customHeight="1" spans="1:16">
      <c r="A57" s="18" t="s">
        <v>983</v>
      </c>
      <c r="B57" s="28"/>
      <c r="C57" s="20" t="s">
        <v>984</v>
      </c>
      <c r="D57" s="21" t="s">
        <v>985</v>
      </c>
      <c r="E57" s="21">
        <v>651</v>
      </c>
      <c r="F57" s="21">
        <v>6</v>
      </c>
      <c r="G57" s="22" t="s">
        <v>986</v>
      </c>
      <c r="H57" s="23" t="s">
        <v>987</v>
      </c>
      <c r="I57" s="23" t="s">
        <v>988</v>
      </c>
      <c r="J57" s="23" t="s">
        <v>989</v>
      </c>
      <c r="K57" s="23" t="s">
        <v>979</v>
      </c>
      <c r="L57" s="53"/>
      <c r="M57" s="53"/>
      <c r="N57" s="52"/>
      <c r="O57" s="23" t="s">
        <v>518</v>
      </c>
      <c r="P57" s="23"/>
    </row>
    <row r="58" s="1" customFormat="1" ht="15" hidden="1" customHeight="1" spans="1:16">
      <c r="A58" s="18" t="s">
        <v>990</v>
      </c>
      <c r="B58" s="28"/>
      <c r="C58" s="20" t="s">
        <v>991</v>
      </c>
      <c r="D58" s="21" t="s">
        <v>992</v>
      </c>
      <c r="E58" s="21">
        <v>652</v>
      </c>
      <c r="F58" s="21">
        <v>5</v>
      </c>
      <c r="G58" s="22" t="s">
        <v>993</v>
      </c>
      <c r="H58" s="23" t="s">
        <v>994</v>
      </c>
      <c r="I58" s="23" t="s">
        <v>995</v>
      </c>
      <c r="J58" s="23" t="s">
        <v>996</v>
      </c>
      <c r="K58" s="23" t="s">
        <v>979</v>
      </c>
      <c r="L58" s="53"/>
      <c r="M58" s="53"/>
      <c r="N58" s="52"/>
      <c r="O58" s="23" t="s">
        <v>518</v>
      </c>
      <c r="P58" s="23"/>
    </row>
    <row r="59" s="1" customFormat="1" ht="15" hidden="1" customHeight="1" spans="1:16">
      <c r="A59" s="18" t="s">
        <v>997</v>
      </c>
      <c r="B59" s="28"/>
      <c r="C59" s="20" t="s">
        <v>998</v>
      </c>
      <c r="D59" s="21" t="s">
        <v>999</v>
      </c>
      <c r="E59" s="21">
        <v>652</v>
      </c>
      <c r="F59" s="21">
        <v>6</v>
      </c>
      <c r="G59" s="22" t="s">
        <v>1000</v>
      </c>
      <c r="H59" s="23" t="s">
        <v>1001</v>
      </c>
      <c r="I59" s="23" t="s">
        <v>1002</v>
      </c>
      <c r="J59" s="23" t="s">
        <v>1003</v>
      </c>
      <c r="K59" s="23" t="s">
        <v>979</v>
      </c>
      <c r="L59" s="53"/>
      <c r="M59" s="53"/>
      <c r="N59" s="52"/>
      <c r="O59" s="23" t="s">
        <v>518</v>
      </c>
      <c r="P59" s="23"/>
    </row>
    <row r="60" s="1" customFormat="1" ht="15" hidden="1" customHeight="1" spans="1:16">
      <c r="A60" s="18" t="s">
        <v>1004</v>
      </c>
      <c r="B60" s="28"/>
      <c r="C60" s="20" t="s">
        <v>1005</v>
      </c>
      <c r="D60" s="21" t="s">
        <v>1006</v>
      </c>
      <c r="E60" s="21">
        <v>653</v>
      </c>
      <c r="F60" s="21">
        <v>5</v>
      </c>
      <c r="G60" s="22" t="s">
        <v>1007</v>
      </c>
      <c r="H60" s="23" t="s">
        <v>1008</v>
      </c>
      <c r="I60" s="23" t="s">
        <v>1009</v>
      </c>
      <c r="J60" s="23" t="s">
        <v>1010</v>
      </c>
      <c r="K60" s="23" t="s">
        <v>979</v>
      </c>
      <c r="L60" s="53"/>
      <c r="M60" s="53"/>
      <c r="N60" s="52"/>
      <c r="O60" s="23" t="s">
        <v>518</v>
      </c>
      <c r="P60" s="23"/>
    </row>
    <row r="61" s="1" customFormat="1" ht="15" hidden="1" customHeight="1" spans="1:16">
      <c r="A61" s="18" t="s">
        <v>1011</v>
      </c>
      <c r="B61" s="28"/>
      <c r="C61" s="20" t="s">
        <v>1012</v>
      </c>
      <c r="D61" s="21" t="s">
        <v>1013</v>
      </c>
      <c r="E61" s="21">
        <v>653</v>
      </c>
      <c r="F61" s="21">
        <v>6</v>
      </c>
      <c r="G61" s="22" t="s">
        <v>1014</v>
      </c>
      <c r="H61" s="23" t="s">
        <v>1015</v>
      </c>
      <c r="I61" s="23" t="s">
        <v>1016</v>
      </c>
      <c r="J61" s="23" t="s">
        <v>1017</v>
      </c>
      <c r="K61" s="23" t="s">
        <v>979</v>
      </c>
      <c r="L61" s="53"/>
      <c r="M61" s="53"/>
      <c r="N61" s="52"/>
      <c r="O61" s="23" t="s">
        <v>518</v>
      </c>
      <c r="P61" s="23"/>
    </row>
    <row r="62" s="1" customFormat="1" ht="15" hidden="1" customHeight="1" spans="1:16">
      <c r="A62" s="18" t="s">
        <v>1018</v>
      </c>
      <c r="B62" s="28"/>
      <c r="C62" s="20" t="s">
        <v>1019</v>
      </c>
      <c r="D62" s="21" t="s">
        <v>1020</v>
      </c>
      <c r="E62" s="21">
        <v>654</v>
      </c>
      <c r="F62" s="21">
        <v>5</v>
      </c>
      <c r="G62" s="22" t="s">
        <v>1021</v>
      </c>
      <c r="H62" s="23" t="s">
        <v>1022</v>
      </c>
      <c r="I62" s="23" t="s">
        <v>1023</v>
      </c>
      <c r="J62" s="23" t="s">
        <v>1024</v>
      </c>
      <c r="K62" s="23" t="s">
        <v>979</v>
      </c>
      <c r="L62" s="53"/>
      <c r="M62" s="53"/>
      <c r="N62" s="52"/>
      <c r="O62" s="23" t="s">
        <v>518</v>
      </c>
      <c r="P62" s="23"/>
    </row>
    <row r="63" s="1" customFormat="1" ht="15" hidden="1" customHeight="1" spans="1:16">
      <c r="A63" s="18" t="s">
        <v>1025</v>
      </c>
      <c r="B63" s="28"/>
      <c r="C63" s="37" t="s">
        <v>1026</v>
      </c>
      <c r="D63" s="38" t="s">
        <v>1027</v>
      </c>
      <c r="E63" s="38">
        <v>654</v>
      </c>
      <c r="F63" s="38">
        <v>6</v>
      </c>
      <c r="G63" s="22" t="s">
        <v>1028</v>
      </c>
      <c r="H63" s="23" t="s">
        <v>1029</v>
      </c>
      <c r="I63" s="23" t="s">
        <v>1030</v>
      </c>
      <c r="J63" s="23" t="s">
        <v>1031</v>
      </c>
      <c r="K63" s="23" t="s">
        <v>979</v>
      </c>
      <c r="L63" s="53"/>
      <c r="M63" s="53"/>
      <c r="N63" s="52"/>
      <c r="O63" s="23" t="s">
        <v>518</v>
      </c>
      <c r="P63" s="54"/>
    </row>
    <row r="64" s="1" customFormat="1" ht="15" customHeight="1" spans="1:16">
      <c r="A64" s="18" t="s">
        <v>1032</v>
      </c>
      <c r="B64" s="19" t="s">
        <v>507</v>
      </c>
      <c r="C64" s="95" t="s">
        <v>1033</v>
      </c>
      <c r="D64" s="25" t="s">
        <v>1034</v>
      </c>
      <c r="E64" s="12">
        <v>636</v>
      </c>
      <c r="F64" s="12">
        <v>8</v>
      </c>
      <c r="G64" s="9" t="s">
        <v>1035</v>
      </c>
      <c r="H64" s="23" t="s">
        <v>1036</v>
      </c>
      <c r="I64" s="23" t="s">
        <v>1037</v>
      </c>
      <c r="J64" s="23" t="s">
        <v>1038</v>
      </c>
      <c r="K64" s="10" t="s">
        <v>1039</v>
      </c>
      <c r="L64" s="55" t="s">
        <v>1040</v>
      </c>
      <c r="M64" s="55" t="s">
        <v>1041</v>
      </c>
      <c r="N64" s="44" t="s">
        <v>1042</v>
      </c>
      <c r="O64" s="10" t="s">
        <v>42</v>
      </c>
      <c r="P64" s="10" t="s">
        <v>519</v>
      </c>
    </row>
    <row r="65" s="1" customFormat="1" ht="15" customHeight="1" spans="1:16">
      <c r="A65" s="18" t="s">
        <v>1043</v>
      </c>
      <c r="B65" s="19" t="s">
        <v>507</v>
      </c>
      <c r="C65" s="95" t="s">
        <v>1044</v>
      </c>
      <c r="D65" s="25" t="s">
        <v>1045</v>
      </c>
      <c r="E65" s="12">
        <v>636</v>
      </c>
      <c r="F65" s="12">
        <v>2</v>
      </c>
      <c r="G65" s="9" t="s">
        <v>1046</v>
      </c>
      <c r="H65" s="23" t="s">
        <v>1047</v>
      </c>
      <c r="I65" s="23" t="s">
        <v>1048</v>
      </c>
      <c r="J65" s="23" t="s">
        <v>1049</v>
      </c>
      <c r="K65" s="10" t="s">
        <v>1039</v>
      </c>
      <c r="L65" s="55"/>
      <c r="M65" s="55"/>
      <c r="N65" s="40"/>
      <c r="O65" s="10" t="s">
        <v>1050</v>
      </c>
      <c r="P65" s="10" t="s">
        <v>519</v>
      </c>
    </row>
    <row r="66" s="1" customFormat="1" ht="15" customHeight="1" spans="1:16">
      <c r="A66" s="9" t="s">
        <v>1051</v>
      </c>
      <c r="B66" s="19" t="s">
        <v>507</v>
      </c>
      <c r="C66" s="95" t="s">
        <v>1052</v>
      </c>
      <c r="D66" s="25" t="s">
        <v>1053</v>
      </c>
      <c r="E66" s="12">
        <v>168</v>
      </c>
      <c r="F66" s="12">
        <v>18</v>
      </c>
      <c r="G66" s="9" t="s">
        <v>1054</v>
      </c>
      <c r="H66" s="23" t="s">
        <v>1055</v>
      </c>
      <c r="I66" s="23" t="s">
        <v>1056</v>
      </c>
      <c r="J66" s="23" t="s">
        <v>1057</v>
      </c>
      <c r="K66" s="10" t="s">
        <v>1058</v>
      </c>
      <c r="L66" s="55" t="s">
        <v>1059</v>
      </c>
      <c r="M66" s="55" t="s">
        <v>1060</v>
      </c>
      <c r="N66" s="44" t="s">
        <v>1061</v>
      </c>
      <c r="O66" s="10" t="s">
        <v>1062</v>
      </c>
      <c r="P66" s="45" t="s">
        <v>1063</v>
      </c>
    </row>
    <row r="67" s="1" customFormat="1" ht="15" customHeight="1" spans="1:16">
      <c r="A67" s="9" t="s">
        <v>1064</v>
      </c>
      <c r="B67" s="19" t="s">
        <v>507</v>
      </c>
      <c r="C67" s="95" t="s">
        <v>1065</v>
      </c>
      <c r="D67" s="25" t="s">
        <v>1066</v>
      </c>
      <c r="E67" s="12">
        <v>168</v>
      </c>
      <c r="F67" s="12">
        <v>16</v>
      </c>
      <c r="G67" s="9" t="s">
        <v>1067</v>
      </c>
      <c r="H67" s="23" t="s">
        <v>1068</v>
      </c>
      <c r="I67" s="23" t="s">
        <v>1069</v>
      </c>
      <c r="J67" s="23" t="s">
        <v>1070</v>
      </c>
      <c r="K67" s="10" t="s">
        <v>1058</v>
      </c>
      <c r="L67" s="55"/>
      <c r="M67" s="55"/>
      <c r="N67" s="40"/>
      <c r="O67" s="10" t="s">
        <v>1062</v>
      </c>
      <c r="P67" s="45"/>
    </row>
    <row r="68" s="1" customFormat="1" ht="15" customHeight="1" spans="1:16">
      <c r="A68" s="9" t="s">
        <v>1071</v>
      </c>
      <c r="B68" s="19" t="s">
        <v>507</v>
      </c>
      <c r="C68" s="24" t="s">
        <v>1072</v>
      </c>
      <c r="D68" s="25" t="s">
        <v>1073</v>
      </c>
      <c r="E68" s="12">
        <v>1352</v>
      </c>
      <c r="F68" s="12">
        <v>0</v>
      </c>
      <c r="G68" s="9" t="s">
        <v>1074</v>
      </c>
      <c r="H68" s="23" t="s">
        <v>1075</v>
      </c>
      <c r="I68" s="23" t="s">
        <v>1076</v>
      </c>
      <c r="J68" s="23" t="s">
        <v>1077</v>
      </c>
      <c r="K68" s="10" t="s">
        <v>1078</v>
      </c>
      <c r="L68" s="39"/>
      <c r="M68" s="39"/>
      <c r="N68" s="40"/>
      <c r="O68" s="10" t="s">
        <v>518</v>
      </c>
      <c r="P68" s="10" t="s">
        <v>574</v>
      </c>
    </row>
    <row r="69" s="1" customFormat="1" ht="15" customHeight="1" spans="1:16">
      <c r="A69" s="9" t="s">
        <v>1079</v>
      </c>
      <c r="B69" s="19" t="s">
        <v>507</v>
      </c>
      <c r="C69" s="24" t="s">
        <v>1080</v>
      </c>
      <c r="D69" s="25" t="s">
        <v>1081</v>
      </c>
      <c r="E69" s="12">
        <v>1353</v>
      </c>
      <c r="F69" s="12">
        <v>0</v>
      </c>
      <c r="G69" s="9" t="s">
        <v>1082</v>
      </c>
      <c r="H69" s="23" t="s">
        <v>1083</v>
      </c>
      <c r="I69" s="23" t="s">
        <v>1084</v>
      </c>
      <c r="J69" s="23" t="s">
        <v>1085</v>
      </c>
      <c r="K69" s="10" t="s">
        <v>1086</v>
      </c>
      <c r="L69" s="39"/>
      <c r="M69" s="39"/>
      <c r="N69" s="40"/>
      <c r="O69" s="10" t="s">
        <v>518</v>
      </c>
      <c r="P69" s="10" t="s">
        <v>574</v>
      </c>
    </row>
    <row r="70" s="1" customFormat="1" ht="15" customHeight="1" spans="1:16">
      <c r="A70" s="9" t="s">
        <v>1087</v>
      </c>
      <c r="B70" s="19" t="s">
        <v>507</v>
      </c>
      <c r="C70" s="24" t="s">
        <v>1088</v>
      </c>
      <c r="D70" s="25" t="s">
        <v>1089</v>
      </c>
      <c r="E70" s="12">
        <v>4237</v>
      </c>
      <c r="F70" s="12">
        <v>16</v>
      </c>
      <c r="G70" s="9" t="s">
        <v>1090</v>
      </c>
      <c r="H70" s="23" t="s">
        <v>1091</v>
      </c>
      <c r="I70" s="23" t="s">
        <v>1092</v>
      </c>
      <c r="J70" s="23" t="s">
        <v>1093</v>
      </c>
      <c r="K70" s="10" t="s">
        <v>1094</v>
      </c>
      <c r="L70" s="43" t="s">
        <v>1095</v>
      </c>
      <c r="M70" s="43" t="s">
        <v>1096</v>
      </c>
      <c r="N70" s="44" t="s">
        <v>1097</v>
      </c>
      <c r="O70" s="10" t="s">
        <v>1062</v>
      </c>
      <c r="P70" s="10" t="s">
        <v>574</v>
      </c>
    </row>
    <row r="71" s="1" customFormat="1" ht="15" customHeight="1" spans="1:16">
      <c r="A71" s="9" t="s">
        <v>1098</v>
      </c>
      <c r="B71" s="19" t="s">
        <v>507</v>
      </c>
      <c r="C71" s="10" t="s">
        <v>1099</v>
      </c>
      <c r="D71" s="25" t="s">
        <v>1100</v>
      </c>
      <c r="E71" s="12">
        <v>4237</v>
      </c>
      <c r="F71" s="12">
        <v>18</v>
      </c>
      <c r="G71" s="9" t="s">
        <v>1101</v>
      </c>
      <c r="H71" s="23" t="s">
        <v>1102</v>
      </c>
      <c r="I71" s="23" t="s">
        <v>1103</v>
      </c>
      <c r="J71" s="23" t="s">
        <v>1104</v>
      </c>
      <c r="K71" s="10" t="s">
        <v>1094</v>
      </c>
      <c r="L71" s="39"/>
      <c r="M71" s="43"/>
      <c r="N71" s="40"/>
      <c r="O71" s="10" t="s">
        <v>1062</v>
      </c>
      <c r="P71" s="10" t="s">
        <v>574</v>
      </c>
    </row>
    <row r="72" s="1" customFormat="1" ht="15" hidden="1" customHeight="1" spans="1:16">
      <c r="A72" s="9" t="s">
        <v>1105</v>
      </c>
      <c r="B72" s="28"/>
      <c r="C72" s="35" t="s">
        <v>1106</v>
      </c>
      <c r="D72" s="36" t="s">
        <v>1107</v>
      </c>
      <c r="E72" s="36">
        <v>634</v>
      </c>
      <c r="F72" s="36">
        <v>5</v>
      </c>
      <c r="G72" s="22" t="s">
        <v>1108</v>
      </c>
      <c r="H72" s="23" t="s">
        <v>1109</v>
      </c>
      <c r="I72" s="23" t="s">
        <v>1110</v>
      </c>
      <c r="J72" s="23" t="s">
        <v>1111</v>
      </c>
      <c r="K72" s="23" t="s">
        <v>1112</v>
      </c>
      <c r="L72" s="51" t="s">
        <v>1113</v>
      </c>
      <c r="M72" s="51" t="s">
        <v>1114</v>
      </c>
      <c r="N72" s="52" t="s">
        <v>1115</v>
      </c>
      <c r="O72" s="23" t="s">
        <v>518</v>
      </c>
      <c r="P72" s="23"/>
    </row>
    <row r="73" s="1" customFormat="1" ht="15" hidden="1" customHeight="1" spans="1:16">
      <c r="A73" s="9" t="s">
        <v>1116</v>
      </c>
      <c r="B73" s="28"/>
      <c r="C73" s="20" t="s">
        <v>1117</v>
      </c>
      <c r="D73" s="21" t="s">
        <v>1118</v>
      </c>
      <c r="E73" s="21">
        <v>634</v>
      </c>
      <c r="F73" s="21">
        <v>6</v>
      </c>
      <c r="G73" s="22" t="s">
        <v>1119</v>
      </c>
      <c r="H73" s="23" t="s">
        <v>1120</v>
      </c>
      <c r="I73" s="23" t="s">
        <v>1121</v>
      </c>
      <c r="J73" s="23" t="s">
        <v>1122</v>
      </c>
      <c r="K73" s="23" t="s">
        <v>1112</v>
      </c>
      <c r="L73" s="53"/>
      <c r="M73" s="53"/>
      <c r="N73" s="52"/>
      <c r="O73" s="23" t="s">
        <v>518</v>
      </c>
      <c r="P73" s="23"/>
    </row>
    <row r="74" s="1" customFormat="1" ht="15" hidden="1" customHeight="1" spans="1:16">
      <c r="A74" s="9" t="s">
        <v>1123</v>
      </c>
      <c r="B74" s="28"/>
      <c r="C74" s="20" t="s">
        <v>1124</v>
      </c>
      <c r="D74" s="21" t="s">
        <v>1125</v>
      </c>
      <c r="E74" s="21">
        <v>931</v>
      </c>
      <c r="F74" s="21">
        <v>4</v>
      </c>
      <c r="G74" s="22" t="s">
        <v>1126</v>
      </c>
      <c r="H74" s="23" t="s">
        <v>1127</v>
      </c>
      <c r="I74" s="28" t="s">
        <v>1128</v>
      </c>
      <c r="J74" s="23" t="s">
        <v>1129</v>
      </c>
      <c r="K74" s="23" t="s">
        <v>1130</v>
      </c>
      <c r="L74" s="51" t="s">
        <v>1131</v>
      </c>
      <c r="M74" s="51" t="s">
        <v>1132</v>
      </c>
      <c r="N74" s="57" t="s">
        <v>1133</v>
      </c>
      <c r="O74" s="23" t="s">
        <v>518</v>
      </c>
      <c r="P74" s="23"/>
    </row>
    <row r="75" s="1" customFormat="1" ht="15" hidden="1" customHeight="1" spans="1:16">
      <c r="A75" s="9" t="s">
        <v>1134</v>
      </c>
      <c r="B75" s="28"/>
      <c r="C75" s="20" t="s">
        <v>1135</v>
      </c>
      <c r="D75" s="21" t="s">
        <v>1136</v>
      </c>
      <c r="E75" s="21">
        <v>931</v>
      </c>
      <c r="F75" s="21">
        <v>3</v>
      </c>
      <c r="G75" s="22" t="s">
        <v>1137</v>
      </c>
      <c r="H75" s="23" t="s">
        <v>1138</v>
      </c>
      <c r="I75" s="28" t="s">
        <v>1139</v>
      </c>
      <c r="J75" s="23" t="s">
        <v>1140</v>
      </c>
      <c r="K75" s="23" t="s">
        <v>1130</v>
      </c>
      <c r="L75" s="53"/>
      <c r="M75" s="53"/>
      <c r="N75" s="52"/>
      <c r="O75" s="23" t="s">
        <v>518</v>
      </c>
      <c r="P75" s="23"/>
    </row>
    <row r="76" s="1" customFormat="1" ht="15" hidden="1" customHeight="1" spans="1:16">
      <c r="A76" s="9" t="s">
        <v>1141</v>
      </c>
      <c r="B76" s="28"/>
      <c r="C76" s="20" t="s">
        <v>1142</v>
      </c>
      <c r="D76" s="21" t="s">
        <v>1143</v>
      </c>
      <c r="E76" s="21">
        <v>931</v>
      </c>
      <c r="F76" s="21">
        <v>31</v>
      </c>
      <c r="G76" s="22" t="s">
        <v>1144</v>
      </c>
      <c r="H76" s="23" t="s">
        <v>1145</v>
      </c>
      <c r="I76" s="28" t="s">
        <v>1146</v>
      </c>
      <c r="J76" s="23" t="s">
        <v>1147</v>
      </c>
      <c r="K76" s="23" t="s">
        <v>1148</v>
      </c>
      <c r="L76" s="53"/>
      <c r="M76" s="53"/>
      <c r="N76" s="52"/>
      <c r="O76" s="23" t="s">
        <v>518</v>
      </c>
      <c r="P76" s="23"/>
    </row>
    <row r="77" s="1" customFormat="1" ht="15" hidden="1" customHeight="1" spans="1:16">
      <c r="A77" s="9" t="s">
        <v>1149</v>
      </c>
      <c r="B77" s="28"/>
      <c r="C77" s="20" t="s">
        <v>1150</v>
      </c>
      <c r="D77" s="21" t="s">
        <v>1151</v>
      </c>
      <c r="E77" s="12">
        <v>4076</v>
      </c>
      <c r="F77" s="12">
        <v>5</v>
      </c>
      <c r="G77" s="9" t="s">
        <v>597</v>
      </c>
      <c r="H77" s="23" t="s">
        <v>586</v>
      </c>
      <c r="I77" s="23" t="s">
        <v>1152</v>
      </c>
      <c r="J77" s="23" t="s">
        <v>1153</v>
      </c>
      <c r="K77" s="23" t="s">
        <v>1154</v>
      </c>
      <c r="L77" s="53"/>
      <c r="M77" s="53"/>
      <c r="N77" s="52"/>
      <c r="O77" s="23" t="s">
        <v>518</v>
      </c>
      <c r="P77" s="23"/>
    </row>
    <row r="78" s="1" customFormat="1" ht="15" hidden="1" customHeight="1" spans="1:16">
      <c r="A78" s="9" t="s">
        <v>1155</v>
      </c>
      <c r="B78" s="28"/>
      <c r="C78" s="20" t="s">
        <v>1156</v>
      </c>
      <c r="D78" s="21" t="s">
        <v>1157</v>
      </c>
      <c r="E78" s="12">
        <v>4076</v>
      </c>
      <c r="F78" s="12">
        <v>6</v>
      </c>
      <c r="G78" s="9" t="s">
        <v>597</v>
      </c>
      <c r="H78" s="23" t="s">
        <v>598</v>
      </c>
      <c r="I78" s="23" t="s">
        <v>1158</v>
      </c>
      <c r="J78" s="23" t="s">
        <v>1159</v>
      </c>
      <c r="K78" s="23" t="s">
        <v>1154</v>
      </c>
      <c r="L78" s="53"/>
      <c r="M78" s="53"/>
      <c r="N78" s="52"/>
      <c r="O78" s="23" t="s">
        <v>518</v>
      </c>
      <c r="P78" s="23"/>
    </row>
    <row r="79" s="1" customFormat="1" ht="15" hidden="1" customHeight="1" spans="1:16">
      <c r="A79" s="18" t="s">
        <v>1160</v>
      </c>
      <c r="B79" s="28"/>
      <c r="C79" s="24" t="s">
        <v>1161</v>
      </c>
      <c r="D79" s="25" t="s">
        <v>1162</v>
      </c>
      <c r="E79" s="12">
        <v>7833</v>
      </c>
      <c r="F79" s="12">
        <v>4</v>
      </c>
      <c r="G79" s="9" t="s">
        <v>1163</v>
      </c>
      <c r="H79" s="23" t="s">
        <v>1164</v>
      </c>
      <c r="I79" s="9" t="s">
        <v>1165</v>
      </c>
      <c r="J79" s="23" t="s">
        <v>1166</v>
      </c>
      <c r="K79" s="23" t="s">
        <v>1167</v>
      </c>
      <c r="L79" s="53"/>
      <c r="M79" s="53"/>
      <c r="N79" s="52"/>
      <c r="O79" s="23" t="s">
        <v>518</v>
      </c>
      <c r="P79" s="23"/>
    </row>
    <row r="80" s="1" customFormat="1" ht="15" hidden="1" customHeight="1" spans="1:16">
      <c r="A80" s="18" t="s">
        <v>1168</v>
      </c>
      <c r="B80" s="28"/>
      <c r="C80" s="37" t="s">
        <v>1169</v>
      </c>
      <c r="D80" s="38" t="s">
        <v>1170</v>
      </c>
      <c r="E80" s="56">
        <v>7833</v>
      </c>
      <c r="F80" s="38">
        <v>3</v>
      </c>
      <c r="G80" s="22" t="s">
        <v>1171</v>
      </c>
      <c r="H80" s="23" t="s">
        <v>1172</v>
      </c>
      <c r="I80" s="28" t="s">
        <v>1173</v>
      </c>
      <c r="J80" s="23" t="s">
        <v>1174</v>
      </c>
      <c r="K80" s="23" t="s">
        <v>1167</v>
      </c>
      <c r="L80" s="53"/>
      <c r="M80" s="53"/>
      <c r="N80" s="52"/>
      <c r="O80" s="23" t="s">
        <v>518</v>
      </c>
      <c r="P80" s="23"/>
    </row>
    <row r="81" s="1" customFormat="1" ht="15" customHeight="1" spans="1:16">
      <c r="A81" s="18" t="s">
        <v>1175</v>
      </c>
      <c r="B81" s="19" t="s">
        <v>507</v>
      </c>
      <c r="C81" s="20" t="s">
        <v>1176</v>
      </c>
      <c r="D81" s="21" t="s">
        <v>1177</v>
      </c>
      <c r="E81" s="21">
        <v>629</v>
      </c>
      <c r="F81" s="21">
        <v>19</v>
      </c>
      <c r="G81" s="22" t="s">
        <v>1178</v>
      </c>
      <c r="H81" s="23" t="s">
        <v>1179</v>
      </c>
      <c r="I81" s="23" t="s">
        <v>1180</v>
      </c>
      <c r="J81" s="23" t="s">
        <v>1181</v>
      </c>
      <c r="K81" s="10" t="s">
        <v>1182</v>
      </c>
      <c r="L81" s="39"/>
      <c r="M81" s="39"/>
      <c r="N81" s="40"/>
      <c r="O81" s="10" t="s">
        <v>518</v>
      </c>
      <c r="P81" s="10"/>
    </row>
    <row r="82" hidden="1" spans="1:16">
      <c r="A82" s="18" t="s">
        <v>1183</v>
      </c>
      <c r="B82" s="28"/>
      <c r="C82" s="35" t="s">
        <v>1184</v>
      </c>
      <c r="D82" s="36" t="s">
        <v>1185</v>
      </c>
      <c r="E82" s="36">
        <v>2448</v>
      </c>
      <c r="F82" s="36">
        <v>5</v>
      </c>
      <c r="G82" s="22" t="s">
        <v>1186</v>
      </c>
      <c r="H82" s="28" t="s">
        <v>1187</v>
      </c>
      <c r="I82" s="28" t="s">
        <v>1188</v>
      </c>
      <c r="J82" s="28" t="s">
        <v>1189</v>
      </c>
      <c r="K82" s="28" t="s">
        <v>1190</v>
      </c>
      <c r="L82" s="58"/>
      <c r="M82" s="58"/>
      <c r="N82" s="59"/>
      <c r="O82" s="23" t="s">
        <v>518</v>
      </c>
      <c r="P82" s="28"/>
    </row>
    <row r="83" hidden="1" spans="1:16">
      <c r="A83" s="18" t="s">
        <v>1191</v>
      </c>
      <c r="B83" s="28"/>
      <c r="C83" s="20" t="s">
        <v>1192</v>
      </c>
      <c r="D83" s="21" t="s">
        <v>1193</v>
      </c>
      <c r="E83" s="21">
        <v>2448</v>
      </c>
      <c r="F83" s="21">
        <v>6</v>
      </c>
      <c r="G83" s="22" t="s">
        <v>1194</v>
      </c>
      <c r="H83" s="28" t="s">
        <v>1195</v>
      </c>
      <c r="I83" s="28" t="s">
        <v>1196</v>
      </c>
      <c r="J83" s="28" t="s">
        <v>1197</v>
      </c>
      <c r="K83" s="28" t="s">
        <v>1190</v>
      </c>
      <c r="L83" s="58"/>
      <c r="M83" s="58"/>
      <c r="N83" s="59"/>
      <c r="O83" s="23" t="s">
        <v>518</v>
      </c>
      <c r="P83" s="28"/>
    </row>
    <row r="84" hidden="1" spans="1:16">
      <c r="A84" s="9" t="s">
        <v>1198</v>
      </c>
      <c r="B84" s="28"/>
      <c r="C84" s="20" t="s">
        <v>1199</v>
      </c>
      <c r="D84" s="21" t="s">
        <v>1200</v>
      </c>
      <c r="E84" s="21">
        <v>605</v>
      </c>
      <c r="F84" s="21">
        <v>5</v>
      </c>
      <c r="G84" s="22" t="s">
        <v>1201</v>
      </c>
      <c r="H84" s="28" t="s">
        <v>1202</v>
      </c>
      <c r="I84" s="28" t="s">
        <v>1203</v>
      </c>
      <c r="J84" s="28" t="s">
        <v>1204</v>
      </c>
      <c r="K84" s="28" t="s">
        <v>1205</v>
      </c>
      <c r="L84" s="58"/>
      <c r="M84" s="58"/>
      <c r="N84" s="59"/>
      <c r="O84" s="23" t="s">
        <v>518</v>
      </c>
      <c r="P84" s="28"/>
    </row>
    <row r="85" hidden="1" spans="1:16">
      <c r="A85" s="9" t="s">
        <v>1206</v>
      </c>
      <c r="B85" s="28"/>
      <c r="C85" s="20" t="s">
        <v>1207</v>
      </c>
      <c r="D85" s="21" t="s">
        <v>1208</v>
      </c>
      <c r="E85" s="21">
        <v>605</v>
      </c>
      <c r="F85" s="21">
        <v>6</v>
      </c>
      <c r="G85" s="22" t="s">
        <v>1209</v>
      </c>
      <c r="H85" s="28" t="s">
        <v>1210</v>
      </c>
      <c r="I85" s="28" t="s">
        <v>1211</v>
      </c>
      <c r="J85" s="28" t="s">
        <v>1212</v>
      </c>
      <c r="K85" s="28" t="s">
        <v>1205</v>
      </c>
      <c r="L85" s="58"/>
      <c r="M85" s="58"/>
      <c r="N85" s="59"/>
      <c r="O85" s="23" t="s">
        <v>518</v>
      </c>
      <c r="P85" s="28"/>
    </row>
    <row r="86" hidden="1" spans="1:16">
      <c r="A86" s="18" t="s">
        <v>1213</v>
      </c>
      <c r="B86" s="28"/>
      <c r="C86" s="20" t="s">
        <v>1214</v>
      </c>
      <c r="D86" s="21" t="s">
        <v>1215</v>
      </c>
      <c r="E86" s="21">
        <v>2444</v>
      </c>
      <c r="F86" s="21">
        <v>5</v>
      </c>
      <c r="G86" s="22" t="s">
        <v>1216</v>
      </c>
      <c r="H86" s="28" t="s">
        <v>1217</v>
      </c>
      <c r="I86" s="28" t="s">
        <v>1218</v>
      </c>
      <c r="J86" s="28" t="s">
        <v>1219</v>
      </c>
      <c r="K86" s="28" t="s">
        <v>1220</v>
      </c>
      <c r="L86" s="58"/>
      <c r="M86" s="58"/>
      <c r="N86" s="59"/>
      <c r="O86" s="23" t="s">
        <v>1062</v>
      </c>
      <c r="P86" s="28"/>
    </row>
    <row r="87" hidden="1" spans="1:16">
      <c r="A87" s="18" t="s">
        <v>1221</v>
      </c>
      <c r="B87" s="28"/>
      <c r="C87" s="20" t="s">
        <v>1222</v>
      </c>
      <c r="D87" s="21" t="s">
        <v>1223</v>
      </c>
      <c r="E87" s="21">
        <v>2444</v>
      </c>
      <c r="F87" s="21">
        <v>6</v>
      </c>
      <c r="G87" s="22" t="s">
        <v>1224</v>
      </c>
      <c r="H87" s="28" t="s">
        <v>1225</v>
      </c>
      <c r="I87" s="28" t="s">
        <v>1226</v>
      </c>
      <c r="J87" s="28" t="s">
        <v>1227</v>
      </c>
      <c r="K87" s="28" t="s">
        <v>1220</v>
      </c>
      <c r="L87" s="58"/>
      <c r="M87" s="58"/>
      <c r="N87" s="59"/>
      <c r="O87" s="23" t="s">
        <v>1062</v>
      </c>
      <c r="P87" s="28"/>
    </row>
    <row r="88" s="1" customFormat="1" ht="15" hidden="1" customHeight="1" spans="1:16">
      <c r="A88" s="18" t="s">
        <v>1228</v>
      </c>
      <c r="B88" s="28"/>
      <c r="C88" s="24" t="s">
        <v>1229</v>
      </c>
      <c r="D88" s="25" t="s">
        <v>1230</v>
      </c>
      <c r="E88" s="12">
        <v>1206</v>
      </c>
      <c r="F88" s="12">
        <v>4</v>
      </c>
      <c r="G88" s="9" t="s">
        <v>1231</v>
      </c>
      <c r="H88" s="23" t="s">
        <v>1232</v>
      </c>
      <c r="I88" s="23" t="s">
        <v>1233</v>
      </c>
      <c r="J88" s="23" t="s">
        <v>1234</v>
      </c>
      <c r="K88" s="23" t="s">
        <v>1235</v>
      </c>
      <c r="L88" s="53"/>
      <c r="M88" s="53"/>
      <c r="N88" s="52"/>
      <c r="O88" s="23" t="s">
        <v>518</v>
      </c>
      <c r="P88" s="23"/>
    </row>
    <row r="89" s="1" customFormat="1" ht="15" hidden="1" customHeight="1" spans="1:16">
      <c r="A89" s="18" t="s">
        <v>1236</v>
      </c>
      <c r="B89" s="28"/>
      <c r="C89" s="24" t="s">
        <v>1237</v>
      </c>
      <c r="D89" s="25" t="s">
        <v>1238</v>
      </c>
      <c r="E89" s="12">
        <v>1206</v>
      </c>
      <c r="F89" s="12">
        <v>3</v>
      </c>
      <c r="G89" s="9" t="s">
        <v>1239</v>
      </c>
      <c r="H89" s="23" t="s">
        <v>1240</v>
      </c>
      <c r="I89" s="23" t="s">
        <v>1241</v>
      </c>
      <c r="J89" s="23" t="s">
        <v>1242</v>
      </c>
      <c r="K89" s="23" t="s">
        <v>1235</v>
      </c>
      <c r="L89" s="53"/>
      <c r="M89" s="53"/>
      <c r="N89" s="52"/>
      <c r="O89" s="23" t="s">
        <v>518</v>
      </c>
      <c r="P89" s="23"/>
    </row>
    <row r="90" s="1" customFormat="1" ht="15" hidden="1" customHeight="1" spans="1:16">
      <c r="A90" s="22" t="s">
        <v>1243</v>
      </c>
      <c r="B90" s="28"/>
      <c r="C90" s="24" t="s">
        <v>1244</v>
      </c>
      <c r="D90" s="21" t="s">
        <v>1245</v>
      </c>
      <c r="E90" s="21">
        <v>190</v>
      </c>
      <c r="F90" s="21">
        <v>0</v>
      </c>
      <c r="G90" s="22" t="s">
        <v>1246</v>
      </c>
      <c r="H90" s="22" t="s">
        <v>1247</v>
      </c>
      <c r="I90" s="28" t="s">
        <v>1248</v>
      </c>
      <c r="J90" s="23" t="s">
        <v>1249</v>
      </c>
      <c r="K90" s="23" t="s">
        <v>1250</v>
      </c>
      <c r="L90" s="51" t="s">
        <v>1251</v>
      </c>
      <c r="M90" s="51" t="s">
        <v>1252</v>
      </c>
      <c r="N90" s="52" t="s">
        <v>1253</v>
      </c>
      <c r="O90" s="23" t="s">
        <v>42</v>
      </c>
      <c r="P90" s="23"/>
    </row>
    <row r="91" s="1" customFormat="1" ht="15" hidden="1" customHeight="1" spans="1:16">
      <c r="A91" s="22" t="s">
        <v>1254</v>
      </c>
      <c r="B91" s="28"/>
      <c r="C91" s="24" t="s">
        <v>1255</v>
      </c>
      <c r="D91" s="21" t="s">
        <v>1256</v>
      </c>
      <c r="E91" s="21">
        <v>3251</v>
      </c>
      <c r="F91" s="21">
        <v>0</v>
      </c>
      <c r="G91" s="22" t="s">
        <v>1257</v>
      </c>
      <c r="H91" s="22" t="s">
        <v>1258</v>
      </c>
      <c r="I91" s="28" t="s">
        <v>1259</v>
      </c>
      <c r="J91" s="23" t="s">
        <v>1260</v>
      </c>
      <c r="K91" s="23" t="s">
        <v>1261</v>
      </c>
      <c r="L91" s="51"/>
      <c r="M91" s="51"/>
      <c r="N91" s="52"/>
      <c r="O91" s="23" t="s">
        <v>518</v>
      </c>
      <c r="P91" s="23"/>
    </row>
    <row r="92" hidden="1" spans="1:16">
      <c r="A92" s="18" t="s">
        <v>1262</v>
      </c>
      <c r="B92" s="28"/>
      <c r="C92" s="20" t="s">
        <v>1263</v>
      </c>
      <c r="D92" s="21" t="s">
        <v>1264</v>
      </c>
      <c r="E92" s="21">
        <v>51</v>
      </c>
      <c r="F92" s="21">
        <v>4</v>
      </c>
      <c r="G92" s="22" t="s">
        <v>1265</v>
      </c>
      <c r="H92" s="23" t="s">
        <v>1266</v>
      </c>
      <c r="I92" s="23" t="s">
        <v>1267</v>
      </c>
      <c r="J92" s="23" t="s">
        <v>753</v>
      </c>
      <c r="K92" s="23" t="s">
        <v>754</v>
      </c>
      <c r="L92" s="58"/>
      <c r="M92" s="58"/>
      <c r="N92" s="59"/>
      <c r="O92" s="23" t="s">
        <v>42</v>
      </c>
      <c r="P92" s="28"/>
    </row>
    <row r="93" hidden="1" spans="1:16">
      <c r="A93" s="18" t="s">
        <v>1268</v>
      </c>
      <c r="B93" s="28"/>
      <c r="C93" s="20" t="s">
        <v>1269</v>
      </c>
      <c r="D93" s="21" t="s">
        <v>1270</v>
      </c>
      <c r="E93" s="21">
        <v>51</v>
      </c>
      <c r="F93" s="21">
        <v>3</v>
      </c>
      <c r="G93" s="22" t="s">
        <v>1271</v>
      </c>
      <c r="H93" s="23" t="s">
        <v>1272</v>
      </c>
      <c r="I93" s="23" t="s">
        <v>1273</v>
      </c>
      <c r="J93" s="23" t="s">
        <v>765</v>
      </c>
      <c r="K93" s="23" t="s">
        <v>754</v>
      </c>
      <c r="L93" s="58"/>
      <c r="M93" s="58"/>
      <c r="N93" s="59"/>
      <c r="O93" s="23" t="s">
        <v>42</v>
      </c>
      <c r="P93" s="28"/>
    </row>
    <row r="94" hidden="1" spans="1:16">
      <c r="A94" s="18" t="s">
        <v>1274</v>
      </c>
      <c r="B94" s="28"/>
      <c r="C94" s="20" t="s">
        <v>1275</v>
      </c>
      <c r="D94" s="21" t="s">
        <v>1276</v>
      </c>
      <c r="E94" s="21">
        <v>5419</v>
      </c>
      <c r="F94" s="21">
        <v>5</v>
      </c>
      <c r="G94" s="22" t="s">
        <v>1277</v>
      </c>
      <c r="H94" s="23" t="s">
        <v>1278</v>
      </c>
      <c r="I94" s="23" t="s">
        <v>1279</v>
      </c>
      <c r="J94" s="23" t="s">
        <v>772</v>
      </c>
      <c r="K94" s="23" t="s">
        <v>773</v>
      </c>
      <c r="L94" s="58"/>
      <c r="M94" s="58"/>
      <c r="N94" s="59"/>
      <c r="O94" s="23" t="s">
        <v>518</v>
      </c>
      <c r="P94" s="28"/>
    </row>
    <row r="95" hidden="1" spans="1:16">
      <c r="A95" s="18" t="s">
        <v>1280</v>
      </c>
      <c r="B95" s="28"/>
      <c r="C95" s="20" t="s">
        <v>1281</v>
      </c>
      <c r="D95" s="21" t="s">
        <v>1282</v>
      </c>
      <c r="E95" s="21">
        <v>5419</v>
      </c>
      <c r="F95" s="21">
        <v>6</v>
      </c>
      <c r="G95" s="22" t="s">
        <v>1283</v>
      </c>
      <c r="H95" s="23" t="s">
        <v>1284</v>
      </c>
      <c r="I95" s="23" t="s">
        <v>1285</v>
      </c>
      <c r="J95" s="23" t="s">
        <v>783</v>
      </c>
      <c r="K95" s="23" t="s">
        <v>773</v>
      </c>
      <c r="L95" s="58"/>
      <c r="M95" s="58"/>
      <c r="N95" s="59"/>
      <c r="O95" s="23" t="s">
        <v>518</v>
      </c>
      <c r="P95" s="28"/>
    </row>
    <row r="96" hidden="1" spans="1:16">
      <c r="A96" s="18" t="s">
        <v>1286</v>
      </c>
      <c r="B96" s="28"/>
      <c r="C96" s="20" t="s">
        <v>1287</v>
      </c>
      <c r="D96" s="21" t="s">
        <v>1288</v>
      </c>
      <c r="E96" s="21">
        <v>5419</v>
      </c>
      <c r="F96" s="21">
        <v>7</v>
      </c>
      <c r="G96" s="22" t="s">
        <v>1289</v>
      </c>
      <c r="H96" s="23" t="s">
        <v>1290</v>
      </c>
      <c r="I96" s="23" t="s">
        <v>1291</v>
      </c>
      <c r="J96" s="23" t="s">
        <v>790</v>
      </c>
      <c r="K96" s="23" t="s">
        <v>791</v>
      </c>
      <c r="L96" s="58"/>
      <c r="M96" s="58"/>
      <c r="N96" s="59"/>
      <c r="O96" s="23" t="s">
        <v>32</v>
      </c>
      <c r="P96" s="28"/>
    </row>
    <row r="97" s="1" customFormat="1" ht="15" hidden="1" customHeight="1" spans="1:16">
      <c r="A97" s="9" t="s">
        <v>1292</v>
      </c>
      <c r="B97" s="28"/>
      <c r="C97" s="20" t="s">
        <v>1293</v>
      </c>
      <c r="D97" s="21" t="s">
        <v>1294</v>
      </c>
      <c r="E97" s="12">
        <v>4076</v>
      </c>
      <c r="F97" s="12">
        <v>5</v>
      </c>
      <c r="G97" s="9" t="s">
        <v>597</v>
      </c>
      <c r="H97" s="23" t="s">
        <v>586</v>
      </c>
      <c r="I97" s="23" t="s">
        <v>1295</v>
      </c>
      <c r="J97" s="23" t="s">
        <v>1153</v>
      </c>
      <c r="K97" s="23" t="s">
        <v>1154</v>
      </c>
      <c r="L97" s="53"/>
      <c r="M97" s="53"/>
      <c r="N97" s="52"/>
      <c r="O97" s="23" t="s">
        <v>518</v>
      </c>
      <c r="P97" s="23"/>
    </row>
    <row r="98" s="1" customFormat="1" ht="15" hidden="1" customHeight="1" spans="1:16">
      <c r="A98" s="9" t="s">
        <v>1296</v>
      </c>
      <c r="B98" s="28"/>
      <c r="C98" s="20" t="s">
        <v>1297</v>
      </c>
      <c r="D98" s="21" t="s">
        <v>1298</v>
      </c>
      <c r="E98" s="12">
        <v>4076</v>
      </c>
      <c r="F98" s="12">
        <v>6</v>
      </c>
      <c r="G98" s="9" t="s">
        <v>597</v>
      </c>
      <c r="H98" s="23" t="s">
        <v>598</v>
      </c>
      <c r="I98" s="23" t="s">
        <v>1299</v>
      </c>
      <c r="J98" s="23" t="s">
        <v>1159</v>
      </c>
      <c r="K98" s="23" t="s">
        <v>1154</v>
      </c>
      <c r="L98" s="53"/>
      <c r="M98" s="53"/>
      <c r="N98" s="52"/>
      <c r="O98" s="23" t="s">
        <v>518</v>
      </c>
      <c r="P98" s="23"/>
    </row>
    <row r="99" s="1" customFormat="1" ht="15" hidden="1" customHeight="1" spans="1:16">
      <c r="A99" s="9" t="s">
        <v>1300</v>
      </c>
      <c r="B99" s="28"/>
      <c r="C99" s="20" t="s">
        <v>1301</v>
      </c>
      <c r="D99" s="21" t="s">
        <v>1302</v>
      </c>
      <c r="E99" s="12">
        <v>4076</v>
      </c>
      <c r="F99" s="12">
        <v>5</v>
      </c>
      <c r="G99" s="9" t="s">
        <v>597</v>
      </c>
      <c r="H99" s="23" t="s">
        <v>586</v>
      </c>
      <c r="I99" s="23" t="s">
        <v>1303</v>
      </c>
      <c r="J99" s="23" t="s">
        <v>1153</v>
      </c>
      <c r="K99" s="23" t="s">
        <v>1154</v>
      </c>
      <c r="L99" s="53"/>
      <c r="M99" s="53"/>
      <c r="N99" s="52"/>
      <c r="O99" s="23" t="s">
        <v>518</v>
      </c>
      <c r="P99" s="23"/>
    </row>
    <row r="100" s="1" customFormat="1" ht="15" hidden="1" customHeight="1" spans="1:16">
      <c r="A100" s="9" t="s">
        <v>1304</v>
      </c>
      <c r="B100" s="28"/>
      <c r="C100" s="20" t="s">
        <v>1305</v>
      </c>
      <c r="D100" s="21" t="s">
        <v>1306</v>
      </c>
      <c r="E100" s="12">
        <v>4076</v>
      </c>
      <c r="F100" s="12">
        <v>6</v>
      </c>
      <c r="G100" s="9" t="s">
        <v>597</v>
      </c>
      <c r="H100" s="23" t="s">
        <v>598</v>
      </c>
      <c r="I100" s="23" t="s">
        <v>1307</v>
      </c>
      <c r="J100" s="23" t="s">
        <v>1159</v>
      </c>
      <c r="K100" s="23" t="s">
        <v>1154</v>
      </c>
      <c r="L100" s="53"/>
      <c r="M100" s="53"/>
      <c r="N100" s="52"/>
      <c r="O100" s="23" t="s">
        <v>518</v>
      </c>
      <c r="P100" s="23"/>
    </row>
    <row r="101" s="1" customFormat="1" ht="15" hidden="1" customHeight="1" spans="1:16">
      <c r="A101" s="9" t="s">
        <v>1308</v>
      </c>
      <c r="B101" s="28"/>
      <c r="C101" s="20" t="s">
        <v>1309</v>
      </c>
      <c r="D101" s="21" t="s">
        <v>1310</v>
      </c>
      <c r="E101" s="12">
        <v>4076</v>
      </c>
      <c r="F101" s="12">
        <v>5</v>
      </c>
      <c r="G101" s="9" t="s">
        <v>597</v>
      </c>
      <c r="H101" s="23" t="s">
        <v>586</v>
      </c>
      <c r="I101" s="23" t="s">
        <v>1311</v>
      </c>
      <c r="J101" s="23" t="s">
        <v>1153</v>
      </c>
      <c r="K101" s="23" t="s">
        <v>1154</v>
      </c>
      <c r="L101" s="53"/>
      <c r="M101" s="53"/>
      <c r="N101" s="52"/>
      <c r="O101" s="23" t="s">
        <v>518</v>
      </c>
      <c r="P101" s="23"/>
    </row>
    <row r="102" s="1" customFormat="1" ht="15" hidden="1" customHeight="1" spans="1:16">
      <c r="A102" s="9" t="s">
        <v>1312</v>
      </c>
      <c r="B102" s="28"/>
      <c r="C102" s="20" t="s">
        <v>1313</v>
      </c>
      <c r="D102" s="21" t="s">
        <v>1314</v>
      </c>
      <c r="E102" s="12">
        <v>4076</v>
      </c>
      <c r="F102" s="12">
        <v>6</v>
      </c>
      <c r="G102" s="9" t="s">
        <v>597</v>
      </c>
      <c r="H102" s="23" t="s">
        <v>598</v>
      </c>
      <c r="I102" s="23" t="s">
        <v>1315</v>
      </c>
      <c r="J102" s="23" t="s">
        <v>1159</v>
      </c>
      <c r="K102" s="23" t="s">
        <v>1154</v>
      </c>
      <c r="L102" s="53"/>
      <c r="M102" s="53"/>
      <c r="N102" s="52"/>
      <c r="O102" s="23" t="s">
        <v>518</v>
      </c>
      <c r="P102" s="23"/>
    </row>
    <row r="103" s="1" customFormat="1" ht="15" hidden="1" customHeight="1" spans="1:16">
      <c r="A103" s="9" t="s">
        <v>1316</v>
      </c>
      <c r="B103" s="28"/>
      <c r="C103" s="20" t="s">
        <v>1317</v>
      </c>
      <c r="D103" s="21" t="s">
        <v>1318</v>
      </c>
      <c r="E103" s="12">
        <v>4076</v>
      </c>
      <c r="F103" s="12">
        <v>5</v>
      </c>
      <c r="G103" s="9" t="s">
        <v>597</v>
      </c>
      <c r="H103" s="23" t="s">
        <v>586</v>
      </c>
      <c r="I103" s="23" t="s">
        <v>1319</v>
      </c>
      <c r="J103" s="23" t="s">
        <v>1153</v>
      </c>
      <c r="K103" s="23" t="s">
        <v>1154</v>
      </c>
      <c r="L103" s="53"/>
      <c r="M103" s="53"/>
      <c r="N103" s="52"/>
      <c r="O103" s="23" t="s">
        <v>518</v>
      </c>
      <c r="P103" s="23"/>
    </row>
    <row r="104" s="1" customFormat="1" ht="15" hidden="1" customHeight="1" spans="1:16">
      <c r="A104" s="9" t="s">
        <v>1320</v>
      </c>
      <c r="B104" s="28"/>
      <c r="C104" s="20" t="s">
        <v>1321</v>
      </c>
      <c r="D104" s="21" t="s">
        <v>1322</v>
      </c>
      <c r="E104" s="12">
        <v>4076</v>
      </c>
      <c r="F104" s="12">
        <v>6</v>
      </c>
      <c r="G104" s="9" t="s">
        <v>597</v>
      </c>
      <c r="H104" s="23" t="s">
        <v>598</v>
      </c>
      <c r="I104" s="23" t="s">
        <v>1323</v>
      </c>
      <c r="J104" s="23" t="s">
        <v>1159</v>
      </c>
      <c r="K104" s="23" t="s">
        <v>1154</v>
      </c>
      <c r="L104" s="53"/>
      <c r="M104" s="53"/>
      <c r="N104" s="52"/>
      <c r="O104" s="23" t="s">
        <v>518</v>
      </c>
      <c r="P104" s="23"/>
    </row>
  </sheetData>
  <autoFilter xmlns:etc="http://www.wps.cn/officeDocument/2017/etCustomData" ref="A2:P104" etc:filterBottomFollowUsedRange="0">
    <filterColumn colId="1">
      <filters>
        <filter val="Rehlko"/>
      </filters>
    </filterColumn>
    <extLst/>
  </autoFilter>
  <mergeCells count="78">
    <mergeCell ref="E1:F1"/>
    <mergeCell ref="L3:L4"/>
    <mergeCell ref="L5:L6"/>
    <mergeCell ref="L7:L8"/>
    <mergeCell ref="L9:L10"/>
    <mergeCell ref="L11:L14"/>
    <mergeCell ref="L15:L18"/>
    <mergeCell ref="L19:L20"/>
    <mergeCell ref="L21:L22"/>
    <mergeCell ref="L23:L24"/>
    <mergeCell ref="L25:L28"/>
    <mergeCell ref="L30:L31"/>
    <mergeCell ref="L32:L33"/>
    <mergeCell ref="L35:L36"/>
    <mergeCell ref="L40:L41"/>
    <mergeCell ref="L42:L43"/>
    <mergeCell ref="L44:L45"/>
    <mergeCell ref="L46:L47"/>
    <mergeCell ref="L48:L55"/>
    <mergeCell ref="L56:L63"/>
    <mergeCell ref="L64:L65"/>
    <mergeCell ref="L66:L67"/>
    <mergeCell ref="L70:L71"/>
    <mergeCell ref="L72:L73"/>
    <mergeCell ref="L74:L75"/>
    <mergeCell ref="M3:M4"/>
    <mergeCell ref="M5:M6"/>
    <mergeCell ref="M7:M8"/>
    <mergeCell ref="M9:M10"/>
    <mergeCell ref="M11:M14"/>
    <mergeCell ref="M15:M18"/>
    <mergeCell ref="M19:M20"/>
    <mergeCell ref="M21:M22"/>
    <mergeCell ref="M23:M24"/>
    <mergeCell ref="M25:M28"/>
    <mergeCell ref="M30:M31"/>
    <mergeCell ref="M32:M33"/>
    <mergeCell ref="M35:M36"/>
    <mergeCell ref="M40:M41"/>
    <mergeCell ref="M42:M43"/>
    <mergeCell ref="M44:M45"/>
    <mergeCell ref="M46:M47"/>
    <mergeCell ref="M48:M55"/>
    <mergeCell ref="M56:M63"/>
    <mergeCell ref="M64:M65"/>
    <mergeCell ref="M66:M67"/>
    <mergeCell ref="M70:M71"/>
    <mergeCell ref="M72:M73"/>
    <mergeCell ref="M74:M75"/>
    <mergeCell ref="N3:N4"/>
    <mergeCell ref="N5:N6"/>
    <mergeCell ref="N7:N8"/>
    <mergeCell ref="N9:N10"/>
    <mergeCell ref="N11:N14"/>
    <mergeCell ref="N15:N18"/>
    <mergeCell ref="N19:N20"/>
    <mergeCell ref="N21:N22"/>
    <mergeCell ref="N23:N24"/>
    <mergeCell ref="N25:N28"/>
    <mergeCell ref="N30:N31"/>
    <mergeCell ref="N32:N33"/>
    <mergeCell ref="N35:N36"/>
    <mergeCell ref="N40:N41"/>
    <mergeCell ref="N42:N43"/>
    <mergeCell ref="N44:N45"/>
    <mergeCell ref="N46:N47"/>
    <mergeCell ref="N48:N55"/>
    <mergeCell ref="N56:N63"/>
    <mergeCell ref="N64:N65"/>
    <mergeCell ref="N66:N67"/>
    <mergeCell ref="N70:N71"/>
    <mergeCell ref="N72:N73"/>
    <mergeCell ref="N74:N75"/>
    <mergeCell ref="P11:P12"/>
    <mergeCell ref="P15:P16"/>
    <mergeCell ref="P23:P24"/>
    <mergeCell ref="P30:P31"/>
    <mergeCell ref="P66:P67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Note</vt:lpstr>
      <vt:lpstr>Air</vt:lpstr>
      <vt:lpstr>AFR</vt:lpstr>
      <vt:lpstr>Fuel</vt:lpstr>
      <vt:lpstr>TPSCntrl</vt:lpstr>
      <vt:lpstr>Spark</vt:lpstr>
      <vt:lpstr>BST</vt:lpstr>
      <vt:lpstr>KNK</vt:lpstr>
      <vt:lpstr>SNR</vt:lpstr>
      <vt:lpstr>DTC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2025-01-12T09:21:09Z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014986F17C1041DE9F788B226F10D632_12</vt:lpwstr>
  </property>
</Properties>
</file>